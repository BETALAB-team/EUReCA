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dit-my.sharepoint.com/personal/gianmarco_bano_1_studenti_unipd_it/Documents/Ingegneria energetica/Tesi Magistrale/05 Calcoli/04 Test 4 Prima parte condomini/"/>
    </mc:Choice>
  </mc:AlternateContent>
  <xr:revisionPtr revIDLastSave="5" documentId="13_ncr:1_{D2A28FBA-8586-4FB6-A97D-1E4E7403667B}" xr6:coauthVersionLast="47" xr6:coauthVersionMax="47" xr10:uidLastSave="{27CE4CA8-B935-468E-8783-AC440FE3DF89}"/>
  <bookViews>
    <workbookView xWindow="-120" yWindow="-120" windowWidth="29040" windowHeight="15840" tabRatio="823" xr2:uid="{00000000-000D-0000-FFFF-FFFF00000000}"/>
  </bookViews>
  <sheets>
    <sheet name="Envelopes" sheetId="2" r:id="rId1"/>
    <sheet name="Opaque_types" sheetId="4" r:id="rId2"/>
    <sheet name="Constructions" sheetId="5" r:id="rId3"/>
    <sheet name="Materials" sheetId="6" r:id="rId4"/>
    <sheet name="Windows" sheetId="7" r:id="rId5"/>
  </sheets>
  <definedNames>
    <definedName name="Constructions" localSheetId="2">Constructions!#REF!</definedName>
    <definedName name="Envelopes" localSheetId="0">Envelopes!#REF!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terials" localSheetId="3">Materials!#REF!</definedName>
    <definedName name="Windows" localSheetId="4">Windows!#REF!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6" l="1"/>
  <c r="E33" i="6" l="1"/>
  <c r="E31" i="6"/>
  <c r="F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AB525670-A8D2-4B36-B621-0D835474E15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Very heavy
Heavy
Medium
Light
Very light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Prataviera Enrico</author>
  </authors>
  <commentList>
    <comment ref="F1" authorId="0" shapeId="0" xr:uid="{0E3EBDAB-1A6F-4E77-83B2-990DA850F32A}">
      <text>
        <r>
          <rPr>
            <b/>
            <sz val="9"/>
            <color indexed="81"/>
            <rFont val="Tahoma"/>
            <charset val="1"/>
          </rPr>
          <t>Prataviera Enrico:</t>
        </r>
        <r>
          <rPr>
            <sz val="9"/>
            <color indexed="81"/>
            <rFont val="Tahoma"/>
            <charset val="1"/>
          </rPr>
          <t xml:space="preserve">
0 = no frame
</t>
        </r>
      </text>
    </comment>
  </commentList>
</comments>
</file>

<file path=xl/sharedStrings.xml><?xml version="1.0" encoding="utf-8"?>
<sst xmlns="http://schemas.openxmlformats.org/spreadsheetml/2006/main" count="370" uniqueCount="143">
  <si>
    <t>id</t>
  </si>
  <si>
    <t>name</t>
  </si>
  <si>
    <t>Roof</t>
  </si>
  <si>
    <t>GroundFloor</t>
  </si>
  <si>
    <t>IntCeiling</t>
  </si>
  <si>
    <t>ExtWall</t>
  </si>
  <si>
    <t>IntWall</t>
  </si>
  <si>
    <t>Window</t>
  </si>
  <si>
    <t>&lt;45</t>
  </si>
  <si>
    <t>1930-1945</t>
  </si>
  <si>
    <t>1945-1960</t>
  </si>
  <si>
    <t>45-76</t>
  </si>
  <si>
    <t>1971-1980</t>
  </si>
  <si>
    <t>76-91</t>
  </si>
  <si>
    <t>1991-2000</t>
  </si>
  <si>
    <t>91-05</t>
  </si>
  <si>
    <t>&gt;2005</t>
  </si>
  <si>
    <t>After 2010</t>
  </si>
  <si>
    <t>type</t>
  </si>
  <si>
    <t>U-value [W/(m2 K)]</t>
  </si>
  <si>
    <t>Weight class</t>
  </si>
  <si>
    <t>Boundary (only vdi)</t>
  </si>
  <si>
    <t>material_1_id</t>
  </si>
  <si>
    <t>material_2_id</t>
  </si>
  <si>
    <t>material_3_id</t>
  </si>
  <si>
    <t>material_4_id</t>
  </si>
  <si>
    <t>material_5_id</t>
  </si>
  <si>
    <t>material_6_id</t>
  </si>
  <si>
    <t>material_7_id</t>
  </si>
  <si>
    <t>material_8_id</t>
  </si>
  <si>
    <t>material_9_id</t>
  </si>
  <si>
    <t>material_10_id</t>
  </si>
  <si>
    <t>Wooden roof/No insulation</t>
  </si>
  <si>
    <t>Asim</t>
  </si>
  <si>
    <t>Stone Masonry</t>
  </si>
  <si>
    <t>Concrete ground slab</t>
  </si>
  <si>
    <t>Beams-wooden slab (6 cm+20 cm)</t>
  </si>
  <si>
    <t>Sim</t>
  </si>
  <si>
    <t>Hollow tiles and plaster (6 cm)</t>
  </si>
  <si>
    <t>Solid Bricks (37.5 cm)</t>
  </si>
  <si>
    <t>Steel beams and hollow bricks (16 cm)</t>
  </si>
  <si>
    <t>Ceiling with reinforced brick-concrete slab (20 cm)</t>
  </si>
  <si>
    <t>Hollow wall brick masonry (12-5-8)</t>
  </si>
  <si>
    <t>Cinder blocks (30 cm)</t>
  </si>
  <si>
    <t xml:space="preserve">Floor with reinforced concrete slab, traditional screed (12 cm) </t>
  </si>
  <si>
    <t>Brick-concrete slab - traditional screed (16 cm+ 10 cm)</t>
  </si>
  <si>
    <t>Ceiling with reinforced brick-concrete slab (16 cm), trad. screed (12 cm)</t>
  </si>
  <si>
    <t>Hollow wall brick masonry (8-6-12)</t>
  </si>
  <si>
    <t>Cinder blocks with cavity (8-5-15)</t>
  </si>
  <si>
    <t>Floor with reinforced concrete slab, traditional screed (12 cm)</t>
  </si>
  <si>
    <t>Brick-concrete slab - lightweight screed (6 cm)</t>
  </si>
  <si>
    <t>Ceiling with reinforced brick-concrete slab (16 cm + 12 cm)</t>
  </si>
  <si>
    <t>Hollow/solid bricks with cavity (12-8-12)</t>
  </si>
  <si>
    <t>Precast Reinforced concrete wall,slightly insulated (1-3-25)</t>
  </si>
  <si>
    <t>Hollow tiles and plaster (8 cm)</t>
  </si>
  <si>
    <t>Ceiling with reinforced brick-concrete slab (16 cm)</t>
  </si>
  <si>
    <t>Hollow bricks with cavity (8-2-25)</t>
  </si>
  <si>
    <t>Precast Reinforced concrete wall,low insulation (1-6-25)</t>
  </si>
  <si>
    <t>Floor with reinforced concrete slab, lightweight screed (12 cm)</t>
  </si>
  <si>
    <t>Ceiling with reinforced brick-concrete slab (24 cm)</t>
  </si>
  <si>
    <t>Hollow/solid bricks with insulated cavity (25-4-8)</t>
  </si>
  <si>
    <t>Precast Reinforced concrete wall, low insulation (30 cm + 4 cm)</t>
  </si>
  <si>
    <t>Internal Floor with reinforced brick-concrete slab (24 cm), trad. screed (12 cm) - insulation (2 cm)</t>
  </si>
  <si>
    <t>Ceiling with reinforced brick-concrete slab, insulated (24 cm + 5 cm)</t>
  </si>
  <si>
    <t>Hollow/solid bricks with cavity (8-5-25)</t>
  </si>
  <si>
    <t>Precast reinforced-concrete wall, low insulation (4 cm)</t>
  </si>
  <si>
    <t>Floor with reinforced concrete slab, lightweight screed - insulation (5 cm)</t>
  </si>
  <si>
    <t>Brick-concrete slab - lightweight screed (6 cm) - insulation (5 cm)</t>
  </si>
  <si>
    <t>Ceiling with reinforced brick-concrete slab, insulated (24 cm + 10 cm)</t>
  </si>
  <si>
    <t>Perforated bricks and medium insulation (30-10)</t>
  </si>
  <si>
    <t>Floor with reinforced concrete slab, lightweight screed (12 cm) - insulation (10 cm)</t>
  </si>
  <si>
    <t>Brick-concrete slab - lightweight screed (12 cm)- insulation (10 cm)</t>
  </si>
  <si>
    <t>Brick blocks ad external high insulation (2-30-15-2)</t>
  </si>
  <si>
    <t>Brick-concrete slab - lightweight screed (12 cm) - insulation (10 cm)</t>
  </si>
  <si>
    <t>Material_type</t>
  </si>
  <si>
    <t>Thickness [m]</t>
  </si>
  <si>
    <t>Conductivity [W/(m K)]</t>
  </si>
  <si>
    <t>Density [kg/m³]</t>
  </si>
  <si>
    <t>Specific_heat [J/(kg K)]</t>
  </si>
  <si>
    <t>Thermal_absorptance [-]</t>
  </si>
  <si>
    <t>Thermal_resistance [(m2 K)/W]</t>
  </si>
  <si>
    <t>Wood</t>
  </si>
  <si>
    <t>Opaque</t>
  </si>
  <si>
    <t>Roof Tiles</t>
  </si>
  <si>
    <t>Plaster (external)</t>
  </si>
  <si>
    <t>Plaster (internal)</t>
  </si>
  <si>
    <t>Stones blocks (wall)</t>
  </si>
  <si>
    <t>scree (ghiaione)</t>
  </si>
  <si>
    <t>concrete screed (traditional-10cm)</t>
  </si>
  <si>
    <t>concrete mortar (2 cm)</t>
  </si>
  <si>
    <t>beams and dead-air space</t>
  </si>
  <si>
    <t>wood (6 cm)</t>
  </si>
  <si>
    <t>Plywood</t>
  </si>
  <si>
    <t>Gres (internal floor coating)</t>
  </si>
  <si>
    <t>Hollow tile (6 cm)</t>
  </si>
  <si>
    <t>Plaster (internal wall)</t>
  </si>
  <si>
    <t>Solid bricks</t>
  </si>
  <si>
    <t>Steel rafter and hollow bricks (16 cm)</t>
  </si>
  <si>
    <t>Reinforced concrete (4 cm)</t>
  </si>
  <si>
    <t>concrete mortar (3 cm)</t>
  </si>
  <si>
    <t>concrete screed (traditional-12cm)</t>
  </si>
  <si>
    <t>Water proof coating</t>
  </si>
  <si>
    <t>Hollow bricks (8 cm)</t>
  </si>
  <si>
    <t>air gap</t>
  </si>
  <si>
    <t>AirGapMaterial</t>
  </si>
  <si>
    <t>Solid bricks (25 cm)</t>
  </si>
  <si>
    <t>Cinder Blocks (30 cm)</t>
  </si>
  <si>
    <t>Hollow tile (8 cm)</t>
  </si>
  <si>
    <t>concrete screed (traditional-6cm)</t>
  </si>
  <si>
    <t>Hollow bricks and concrete beams (16 cm)</t>
  </si>
  <si>
    <t>Concrete blocks</t>
  </si>
  <si>
    <t>Air Gap (10 cm)</t>
  </si>
  <si>
    <t>Hollow bricks (12 cm)</t>
  </si>
  <si>
    <t>Air Gap (6 cm)</t>
  </si>
  <si>
    <t>Lightweight concrete screed (6 cm)</t>
  </si>
  <si>
    <t>Perforated bricks</t>
  </si>
  <si>
    <t>Air Gap with insulation (2 cm)</t>
  </si>
  <si>
    <t>Concerete panel (25 cm)</t>
  </si>
  <si>
    <t>Insulating Fiberglass panel</t>
  </si>
  <si>
    <t>Concerete panel (1 cm)</t>
  </si>
  <si>
    <t xml:space="preserve">klinker </t>
  </si>
  <si>
    <t>Polystyrene insulation panel</t>
  </si>
  <si>
    <t>Hollow bricks and concrete beams (24 cm)</t>
  </si>
  <si>
    <t>Solid Bricks (25 cm)</t>
  </si>
  <si>
    <t>Lightweight screed (12 cm)</t>
  </si>
  <si>
    <t>Polystyrene insulation panel (5 cm)</t>
  </si>
  <si>
    <t>Solid Bricks (38 cm)</t>
  </si>
  <si>
    <t>Polystyrene insulation panel (10 cm)</t>
  </si>
  <si>
    <t>Pignatte in laterizio</t>
  </si>
  <si>
    <t>Concrete panel (30 cm)</t>
  </si>
  <si>
    <t>Brick blocks</t>
  </si>
  <si>
    <t>Air gap with insulation (4cm)</t>
  </si>
  <si>
    <t>U [W/(m²K)]</t>
  </si>
  <si>
    <t>Solar_Heat_Gain_Coef [-]</t>
  </si>
  <si>
    <t>visible_transmittance [-]</t>
  </si>
  <si>
    <t>frame_factor [-]</t>
  </si>
  <si>
    <t>shading_coef_int [-]</t>
  </si>
  <si>
    <t>shading_coef_ext [-]</t>
  </si>
  <si>
    <t>Single glazing, metal frame without thermal break</t>
  </si>
  <si>
    <t>Single glazing, wood frame</t>
  </si>
  <si>
    <t>Double glazing, air filled, metal frame without thermal break</t>
  </si>
  <si>
    <t>Double glazing, air filled, air filled, metal frame with thermal break</t>
  </si>
  <si>
    <t>Low-e double glazing, air/gas filled, wood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</si>
</sst>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2" borderId="0" xfId="0" applyNumberFormat="1" applyFill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zoomScale="80" zoomScaleNormal="80" workbookViewId="0">
      <pane ySplit="1" topLeftCell="A2" activePane="bottomLeft" state="frozen"/>
      <selection pane="bottomLeft" activeCell="B11" sqref="B11"/>
    </sheetView>
  </sheetViews>
  <sheetFormatPr defaultColWidth="8.5703125" defaultRowHeight="15"/>
  <cols>
    <col min="1" max="1" width="16.28515625" style="5" customWidth="1"/>
    <col min="2" max="4" width="12.7109375" style="5" customWidth="1"/>
    <col min="5" max="5" width="12.5703125" style="5" customWidth="1"/>
    <col min="6" max="6" width="13.5703125" style="5" customWidth="1"/>
    <col min="7" max="7" width="10.85546875" style="5" customWidth="1"/>
    <col min="8" max="1013" width="8.5703125" style="5"/>
    <col min="1014" max="1023" width="9.140625" style="5" customWidth="1"/>
    <col min="1024" max="16384" width="8.5703125" style="5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5">
        <v>1</v>
      </c>
      <c r="B2" s="5" t="s">
        <v>8</v>
      </c>
      <c r="C2" s="6">
        <v>1</v>
      </c>
      <c r="D2" s="6">
        <v>3</v>
      </c>
      <c r="E2" s="6">
        <v>4</v>
      </c>
      <c r="F2" s="6">
        <v>2</v>
      </c>
      <c r="G2" s="6">
        <v>5</v>
      </c>
      <c r="H2" s="6">
        <v>1</v>
      </c>
    </row>
    <row r="3" spans="1:8">
      <c r="A3" s="5">
        <v>2</v>
      </c>
      <c r="B3" s="5" t="s">
        <v>9</v>
      </c>
      <c r="C3" s="6">
        <v>7</v>
      </c>
      <c r="D3" s="6">
        <v>9</v>
      </c>
      <c r="E3" s="6">
        <v>10</v>
      </c>
      <c r="F3" s="6">
        <v>8</v>
      </c>
      <c r="G3" s="6">
        <v>11</v>
      </c>
      <c r="H3" s="6">
        <v>1</v>
      </c>
    </row>
    <row r="4" spans="1:8">
      <c r="A4" s="5">
        <v>3</v>
      </c>
      <c r="B4" s="5" t="s">
        <v>10</v>
      </c>
      <c r="C4" s="6">
        <v>13</v>
      </c>
      <c r="D4" s="6">
        <v>16</v>
      </c>
      <c r="E4" s="6">
        <v>17</v>
      </c>
      <c r="F4" s="6">
        <v>14</v>
      </c>
      <c r="G4" s="6">
        <v>18</v>
      </c>
      <c r="H4" s="6">
        <v>2</v>
      </c>
    </row>
    <row r="5" spans="1:8">
      <c r="A5" s="5">
        <v>4</v>
      </c>
      <c r="B5" s="5" t="s">
        <v>11</v>
      </c>
      <c r="C5" s="6">
        <v>20</v>
      </c>
      <c r="D5" s="6">
        <v>23</v>
      </c>
      <c r="E5" s="6">
        <v>24</v>
      </c>
      <c r="F5" s="6">
        <v>21</v>
      </c>
      <c r="G5" s="6">
        <v>25</v>
      </c>
      <c r="H5" s="6">
        <v>2</v>
      </c>
    </row>
    <row r="6" spans="1:8">
      <c r="A6" s="5">
        <v>5</v>
      </c>
      <c r="B6" s="5" t="s">
        <v>12</v>
      </c>
      <c r="C6" s="6">
        <v>27</v>
      </c>
      <c r="D6" s="6">
        <v>30</v>
      </c>
      <c r="E6" s="6">
        <v>31</v>
      </c>
      <c r="F6" s="6">
        <v>28</v>
      </c>
      <c r="G6" s="6">
        <v>32</v>
      </c>
      <c r="H6" s="6">
        <v>3</v>
      </c>
    </row>
    <row r="7" spans="1:8">
      <c r="A7" s="5">
        <v>6</v>
      </c>
      <c r="B7" s="5" t="s">
        <v>13</v>
      </c>
      <c r="C7" s="6">
        <v>34</v>
      </c>
      <c r="D7" s="6">
        <v>37</v>
      </c>
      <c r="E7" s="6">
        <v>38</v>
      </c>
      <c r="F7" s="6">
        <v>35</v>
      </c>
      <c r="G7" s="6">
        <v>39</v>
      </c>
      <c r="H7" s="6">
        <v>3</v>
      </c>
    </row>
    <row r="8" spans="1:8">
      <c r="A8" s="5">
        <v>7</v>
      </c>
      <c r="B8" s="5" t="s">
        <v>14</v>
      </c>
      <c r="C8" s="6">
        <v>41</v>
      </c>
      <c r="D8" s="6">
        <v>44</v>
      </c>
      <c r="E8" s="6">
        <v>45</v>
      </c>
      <c r="F8" s="6">
        <v>42</v>
      </c>
      <c r="G8" s="6">
        <v>46</v>
      </c>
      <c r="H8" s="6">
        <v>4</v>
      </c>
    </row>
    <row r="9" spans="1:8">
      <c r="A9" s="5">
        <v>8</v>
      </c>
      <c r="B9" s="5" t="s">
        <v>15</v>
      </c>
      <c r="C9" s="6">
        <v>48</v>
      </c>
      <c r="D9" s="6">
        <v>51</v>
      </c>
      <c r="E9" s="6">
        <v>52</v>
      </c>
      <c r="F9" s="6">
        <v>49</v>
      </c>
      <c r="G9" s="6">
        <v>53</v>
      </c>
      <c r="H9" s="6">
        <v>4</v>
      </c>
    </row>
    <row r="10" spans="1:8">
      <c r="A10" s="5">
        <v>9</v>
      </c>
      <c r="B10" s="5" t="s">
        <v>16</v>
      </c>
      <c r="C10" s="6">
        <v>55</v>
      </c>
      <c r="D10" s="6">
        <v>57</v>
      </c>
      <c r="E10" s="6">
        <v>58</v>
      </c>
      <c r="F10" s="6">
        <v>56</v>
      </c>
      <c r="G10" s="6">
        <v>59</v>
      </c>
      <c r="H10" s="6">
        <v>5</v>
      </c>
    </row>
    <row r="11" spans="1:8">
      <c r="A11" s="5">
        <v>10</v>
      </c>
      <c r="B11" s="5" t="s">
        <v>17</v>
      </c>
      <c r="C11" s="6">
        <v>61</v>
      </c>
      <c r="D11" s="6">
        <v>63</v>
      </c>
      <c r="E11" s="6">
        <v>64</v>
      </c>
      <c r="F11" s="6">
        <v>62</v>
      </c>
      <c r="G11" s="6">
        <v>65</v>
      </c>
      <c r="H11" s="6">
        <v>6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80" zoomScaleNormal="80" workbookViewId="0">
      <pane ySplit="1" topLeftCell="A2" activePane="bottomLeft" state="frozen"/>
      <selection pane="bottomLeft" activeCell="B4" sqref="B4"/>
    </sheetView>
  </sheetViews>
  <sheetFormatPr defaultColWidth="8.5703125" defaultRowHeight="15"/>
  <cols>
    <col min="2" max="2" width="18.140625" customWidth="1"/>
  </cols>
  <sheetData>
    <row r="1" spans="1:2">
      <c r="A1" t="s">
        <v>0</v>
      </c>
      <c r="B1" t="s">
        <v>18</v>
      </c>
    </row>
    <row r="2" spans="1:2">
      <c r="A2">
        <v>1</v>
      </c>
      <c r="B2" t="s">
        <v>2</v>
      </c>
    </row>
    <row r="3" spans="1:2">
      <c r="A3">
        <v>2</v>
      </c>
      <c r="B3" t="s">
        <v>5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9"/>
  <sheetViews>
    <sheetView zoomScale="80" zoomScaleNormal="80" workbookViewId="0">
      <pane ySplit="1" topLeftCell="A29" activePane="bottomLeft" state="frozen"/>
      <selection pane="bottomLeft" activeCell="D28" sqref="D28:E46"/>
    </sheetView>
  </sheetViews>
  <sheetFormatPr defaultColWidth="9.140625" defaultRowHeight="15"/>
  <cols>
    <col min="1" max="1" width="5.7109375" style="5" customWidth="1"/>
    <col min="2" max="2" width="23" style="5" bestFit="1" customWidth="1"/>
    <col min="3" max="3" width="11.85546875" style="5" customWidth="1"/>
    <col min="4" max="5" width="21.140625" style="5" customWidth="1"/>
    <col min="6" max="6" width="17.7109375" style="5" customWidth="1"/>
    <col min="7" max="16" width="13.28515625" style="5" customWidth="1"/>
    <col min="17" max="17" width="14.28515625" style="5" customWidth="1"/>
    <col min="18" max="16384" width="9.140625" style="5"/>
  </cols>
  <sheetData>
    <row r="1" spans="1:16" s="1" customFormat="1" ht="30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ht="30">
      <c r="A2" s="1">
        <v>1</v>
      </c>
      <c r="B2" s="1" t="s">
        <v>32</v>
      </c>
      <c r="C2" s="5" t="s">
        <v>2</v>
      </c>
      <c r="F2" s="5" t="s">
        <v>33</v>
      </c>
      <c r="G2" s="1">
        <v>2</v>
      </c>
      <c r="H2" s="1">
        <v>1</v>
      </c>
    </row>
    <row r="3" spans="1:16">
      <c r="A3" s="1">
        <v>2</v>
      </c>
      <c r="B3" s="5" t="s">
        <v>34</v>
      </c>
      <c r="C3" s="5" t="s">
        <v>5</v>
      </c>
      <c r="F3" s="5" t="s">
        <v>33</v>
      </c>
      <c r="G3" s="1">
        <v>3</v>
      </c>
      <c r="H3" s="5">
        <v>5</v>
      </c>
      <c r="I3" s="5">
        <v>4</v>
      </c>
    </row>
    <row r="4" spans="1:16">
      <c r="A4" s="1">
        <v>3</v>
      </c>
      <c r="B4" s="1" t="s">
        <v>35</v>
      </c>
      <c r="C4" s="5" t="s">
        <v>3</v>
      </c>
      <c r="F4" s="5" t="s">
        <v>33</v>
      </c>
      <c r="G4" s="1">
        <v>6</v>
      </c>
      <c r="H4" s="1">
        <v>7</v>
      </c>
      <c r="I4" s="1">
        <v>8</v>
      </c>
      <c r="J4" s="1">
        <v>12</v>
      </c>
    </row>
    <row r="5" spans="1:16" ht="30">
      <c r="A5" s="1">
        <v>4</v>
      </c>
      <c r="B5" s="1" t="s">
        <v>36</v>
      </c>
      <c r="C5" s="5" t="s">
        <v>4</v>
      </c>
      <c r="F5" s="5" t="s">
        <v>37</v>
      </c>
      <c r="G5" s="1">
        <v>12</v>
      </c>
      <c r="H5" s="1">
        <v>10</v>
      </c>
      <c r="I5" s="1">
        <v>9</v>
      </c>
      <c r="J5" s="1">
        <v>11</v>
      </c>
      <c r="K5" s="1">
        <v>4</v>
      </c>
      <c r="L5" s="1"/>
      <c r="M5" s="1"/>
      <c r="N5" s="1"/>
      <c r="O5" s="1"/>
    </row>
    <row r="6" spans="1:16" ht="30">
      <c r="A6" s="1">
        <v>5</v>
      </c>
      <c r="B6" s="1" t="s">
        <v>38</v>
      </c>
      <c r="C6" s="5" t="s">
        <v>6</v>
      </c>
      <c r="F6" s="5" t="s">
        <v>37</v>
      </c>
      <c r="G6" s="1">
        <v>14</v>
      </c>
      <c r="H6" s="1">
        <v>13</v>
      </c>
      <c r="I6" s="1">
        <v>14</v>
      </c>
      <c r="J6" s="1"/>
      <c r="K6" s="1"/>
      <c r="L6" s="1"/>
      <c r="M6" s="1"/>
      <c r="N6" s="1"/>
      <c r="O6" s="1"/>
    </row>
    <row r="7" spans="1:16" ht="30">
      <c r="A7" s="1">
        <v>6</v>
      </c>
      <c r="B7" s="1" t="s">
        <v>36</v>
      </c>
      <c r="C7" s="5" t="s">
        <v>4</v>
      </c>
      <c r="F7" s="5" t="s">
        <v>37</v>
      </c>
      <c r="G7" s="1">
        <v>4</v>
      </c>
      <c r="H7" s="1">
        <v>11</v>
      </c>
      <c r="I7" s="1">
        <v>9</v>
      </c>
      <c r="J7" s="1">
        <v>10</v>
      </c>
      <c r="K7" s="1">
        <v>12</v>
      </c>
      <c r="L7" s="1"/>
      <c r="M7" s="1"/>
      <c r="N7" s="1"/>
      <c r="O7" s="1"/>
    </row>
    <row r="8" spans="1:16" ht="30">
      <c r="A8" s="1">
        <v>7</v>
      </c>
      <c r="B8" s="1" t="s">
        <v>32</v>
      </c>
      <c r="C8" s="5" t="s">
        <v>2</v>
      </c>
      <c r="F8" s="5" t="s">
        <v>33</v>
      </c>
      <c r="G8" s="1">
        <v>2</v>
      </c>
      <c r="H8" s="1">
        <v>1</v>
      </c>
      <c r="I8" s="1"/>
      <c r="J8" s="1"/>
      <c r="K8" s="1"/>
      <c r="L8" s="1"/>
      <c r="M8" s="1"/>
      <c r="N8" s="1"/>
      <c r="O8" s="1"/>
    </row>
    <row r="9" spans="1:16">
      <c r="A9" s="1">
        <v>8</v>
      </c>
      <c r="B9" s="5" t="s">
        <v>39</v>
      </c>
      <c r="C9" s="5" t="s">
        <v>5</v>
      </c>
      <c r="F9" s="5" t="s">
        <v>33</v>
      </c>
      <c r="G9" s="1">
        <v>3</v>
      </c>
      <c r="H9" s="1">
        <v>15</v>
      </c>
      <c r="I9" s="1">
        <v>4</v>
      </c>
      <c r="J9" s="1"/>
      <c r="K9" s="1"/>
      <c r="L9" s="1"/>
      <c r="M9" s="1"/>
      <c r="N9" s="1"/>
      <c r="O9" s="1"/>
    </row>
    <row r="10" spans="1:16">
      <c r="A10" s="1">
        <v>9</v>
      </c>
      <c r="B10" s="1" t="s">
        <v>35</v>
      </c>
      <c r="C10" s="5" t="s">
        <v>3</v>
      </c>
      <c r="F10" s="5" t="s">
        <v>33</v>
      </c>
      <c r="G10" s="1">
        <v>6</v>
      </c>
      <c r="H10" s="1">
        <v>7</v>
      </c>
      <c r="I10" s="1">
        <v>8</v>
      </c>
      <c r="J10" s="1">
        <v>12</v>
      </c>
      <c r="K10" s="1"/>
      <c r="L10" s="1"/>
      <c r="M10" s="1"/>
      <c r="N10" s="1"/>
      <c r="O10" s="1"/>
    </row>
    <row r="11" spans="1:16" ht="30">
      <c r="A11" s="1">
        <v>10</v>
      </c>
      <c r="B11" s="1" t="s">
        <v>40</v>
      </c>
      <c r="C11" s="5" t="s">
        <v>4</v>
      </c>
      <c r="F11" s="5" t="s">
        <v>37</v>
      </c>
      <c r="G11" s="1">
        <v>3</v>
      </c>
      <c r="H11" s="1">
        <v>50</v>
      </c>
      <c r="I11" s="1">
        <v>8</v>
      </c>
      <c r="J11" s="1">
        <v>12</v>
      </c>
      <c r="K11" s="1"/>
      <c r="L11" s="1"/>
      <c r="M11" s="1"/>
      <c r="N11" s="1"/>
      <c r="O11" s="1"/>
    </row>
    <row r="12" spans="1:16" ht="30">
      <c r="A12" s="1">
        <v>11</v>
      </c>
      <c r="B12" s="1" t="s">
        <v>38</v>
      </c>
      <c r="C12" s="5" t="s">
        <v>6</v>
      </c>
      <c r="F12" s="5" t="s">
        <v>37</v>
      </c>
      <c r="G12" s="1">
        <v>14</v>
      </c>
      <c r="H12" s="1">
        <v>13</v>
      </c>
      <c r="I12" s="1">
        <v>14</v>
      </c>
      <c r="J12" s="1"/>
      <c r="K12" s="1"/>
      <c r="L12" s="1"/>
      <c r="M12" s="1"/>
      <c r="N12" s="1"/>
      <c r="O12" s="1"/>
    </row>
    <row r="13" spans="1:16" ht="30">
      <c r="A13" s="1">
        <v>12</v>
      </c>
      <c r="B13" s="1" t="s">
        <v>40</v>
      </c>
      <c r="C13" s="5" t="s">
        <v>4</v>
      </c>
      <c r="F13" s="5" t="s">
        <v>37</v>
      </c>
      <c r="G13" s="1">
        <v>12</v>
      </c>
      <c r="H13" s="1">
        <v>8</v>
      </c>
      <c r="I13" s="1">
        <v>50</v>
      </c>
      <c r="J13" s="1">
        <v>3</v>
      </c>
      <c r="K13" s="1"/>
      <c r="L13" s="1"/>
      <c r="M13" s="1"/>
      <c r="N13" s="1"/>
      <c r="O13" s="1"/>
    </row>
    <row r="14" spans="1:16" ht="45">
      <c r="A14" s="1">
        <v>13</v>
      </c>
      <c r="B14" s="1" t="s">
        <v>41</v>
      </c>
      <c r="C14" s="5" t="s">
        <v>2</v>
      </c>
      <c r="F14" s="5" t="s">
        <v>33</v>
      </c>
      <c r="G14" s="1">
        <v>20</v>
      </c>
      <c r="H14" s="1">
        <v>19</v>
      </c>
      <c r="I14" s="1">
        <v>18</v>
      </c>
      <c r="J14" s="1">
        <v>17</v>
      </c>
      <c r="K14" s="1">
        <v>16</v>
      </c>
      <c r="L14" s="1">
        <v>4</v>
      </c>
      <c r="M14" s="1"/>
      <c r="N14" s="1"/>
      <c r="O14" s="1"/>
    </row>
    <row r="15" spans="1:16">
      <c r="A15" s="1">
        <v>14</v>
      </c>
      <c r="B15" s="5" t="s">
        <v>42</v>
      </c>
      <c r="C15" s="5" t="s">
        <v>5</v>
      </c>
      <c r="F15" s="5" t="s">
        <v>33</v>
      </c>
      <c r="G15" s="1">
        <v>3</v>
      </c>
      <c r="H15" s="1">
        <v>23</v>
      </c>
      <c r="I15" s="1">
        <v>22</v>
      </c>
      <c r="J15" s="1">
        <v>21</v>
      </c>
      <c r="K15" s="1">
        <v>4</v>
      </c>
      <c r="L15" s="1"/>
      <c r="M15" s="1"/>
      <c r="N15" s="1"/>
      <c r="O15" s="1"/>
    </row>
    <row r="16" spans="1:16">
      <c r="A16" s="1">
        <v>15</v>
      </c>
      <c r="B16" s="5" t="s">
        <v>43</v>
      </c>
      <c r="C16" s="5" t="s">
        <v>5</v>
      </c>
      <c r="F16" s="5" t="s">
        <v>33</v>
      </c>
      <c r="G16" s="1">
        <v>3</v>
      </c>
      <c r="H16" s="1">
        <v>24</v>
      </c>
      <c r="I16" s="1">
        <v>4</v>
      </c>
      <c r="J16" s="1"/>
      <c r="K16" s="1"/>
      <c r="L16" s="1"/>
      <c r="M16" s="1"/>
      <c r="N16" s="1"/>
      <c r="O16" s="1"/>
    </row>
    <row r="17" spans="1:15" ht="60">
      <c r="A17" s="1">
        <v>16</v>
      </c>
      <c r="B17" s="1" t="s">
        <v>44</v>
      </c>
      <c r="C17" s="5" t="s">
        <v>3</v>
      </c>
      <c r="F17" s="5" t="s">
        <v>33</v>
      </c>
      <c r="G17" s="1">
        <v>6</v>
      </c>
      <c r="H17" s="1">
        <v>7</v>
      </c>
      <c r="I17" s="1">
        <v>8</v>
      </c>
      <c r="J17" s="1">
        <v>12</v>
      </c>
      <c r="K17" s="1"/>
      <c r="L17" s="1"/>
      <c r="M17" s="1"/>
      <c r="N17" s="1"/>
      <c r="O17" s="1"/>
    </row>
    <row r="18" spans="1:15" ht="45">
      <c r="A18" s="1">
        <v>17</v>
      </c>
      <c r="B18" s="1" t="s">
        <v>45</v>
      </c>
      <c r="C18" s="5" t="s">
        <v>4</v>
      </c>
      <c r="F18" s="5" t="s">
        <v>37</v>
      </c>
      <c r="G18" s="1">
        <v>12</v>
      </c>
      <c r="H18" s="1">
        <v>26</v>
      </c>
      <c r="I18" s="1">
        <v>27</v>
      </c>
      <c r="J18" s="1">
        <v>26</v>
      </c>
      <c r="K18" s="1">
        <v>28</v>
      </c>
      <c r="L18" s="1">
        <v>3</v>
      </c>
      <c r="M18" s="1"/>
      <c r="N18" s="1"/>
      <c r="O18" s="1"/>
    </row>
    <row r="19" spans="1:15" ht="30">
      <c r="A19" s="1">
        <v>18</v>
      </c>
      <c r="B19" s="1" t="s">
        <v>38</v>
      </c>
      <c r="C19" s="5" t="s">
        <v>6</v>
      </c>
      <c r="F19" s="5" t="s">
        <v>37</v>
      </c>
      <c r="G19" s="1">
        <v>14</v>
      </c>
      <c r="H19" s="1">
        <v>13</v>
      </c>
      <c r="I19" s="1">
        <v>14</v>
      </c>
      <c r="J19" s="1"/>
      <c r="K19" s="1"/>
      <c r="L19" s="1"/>
      <c r="M19" s="1"/>
      <c r="N19" s="1"/>
      <c r="O19" s="1"/>
    </row>
    <row r="20" spans="1:15" ht="45">
      <c r="A20" s="1">
        <v>19</v>
      </c>
      <c r="B20" s="1" t="s">
        <v>45</v>
      </c>
      <c r="C20" s="5" t="s">
        <v>4</v>
      </c>
      <c r="F20" s="5" t="s">
        <v>37</v>
      </c>
      <c r="G20" s="1">
        <v>3</v>
      </c>
      <c r="H20" s="1">
        <v>28</v>
      </c>
      <c r="I20" s="1">
        <v>26</v>
      </c>
      <c r="J20" s="1">
        <v>27</v>
      </c>
      <c r="K20" s="1">
        <v>26</v>
      </c>
      <c r="L20" s="1">
        <v>12</v>
      </c>
      <c r="M20" s="1"/>
      <c r="N20" s="1"/>
      <c r="O20" s="1"/>
    </row>
    <row r="21" spans="1:15" ht="45">
      <c r="A21" s="1">
        <v>20</v>
      </c>
      <c r="B21" s="1" t="s">
        <v>46</v>
      </c>
      <c r="C21" s="5" t="s">
        <v>2</v>
      </c>
      <c r="F21" s="5" t="s">
        <v>33</v>
      </c>
      <c r="G21" s="1">
        <v>20</v>
      </c>
      <c r="H21" s="1">
        <v>19</v>
      </c>
      <c r="I21" s="1">
        <v>18</v>
      </c>
      <c r="J21" s="1">
        <v>17</v>
      </c>
      <c r="K21" s="1">
        <v>16</v>
      </c>
      <c r="L21" s="1">
        <v>4</v>
      </c>
      <c r="M21" s="1"/>
      <c r="N21" s="1"/>
      <c r="O21" s="1"/>
    </row>
    <row r="22" spans="1:15">
      <c r="A22" s="1">
        <v>21</v>
      </c>
      <c r="B22" s="5" t="s">
        <v>47</v>
      </c>
      <c r="C22" s="5" t="s">
        <v>5</v>
      </c>
      <c r="F22" s="5" t="s">
        <v>33</v>
      </c>
      <c r="G22" s="1">
        <v>3</v>
      </c>
      <c r="H22" s="1">
        <v>31</v>
      </c>
      <c r="I22" s="1">
        <v>32</v>
      </c>
      <c r="J22" s="1">
        <v>31</v>
      </c>
      <c r="K22" s="1">
        <v>4</v>
      </c>
      <c r="L22" s="1"/>
      <c r="M22" s="1"/>
      <c r="N22" s="1"/>
      <c r="O22" s="1"/>
    </row>
    <row r="23" spans="1:15">
      <c r="A23" s="1">
        <v>22</v>
      </c>
      <c r="B23" s="5" t="s">
        <v>48</v>
      </c>
      <c r="C23" s="5" t="s">
        <v>5</v>
      </c>
      <c r="F23" s="5" t="s">
        <v>33</v>
      </c>
      <c r="G23" s="1">
        <v>29</v>
      </c>
      <c r="H23" s="1">
        <v>22</v>
      </c>
      <c r="I23" s="1">
        <v>21</v>
      </c>
      <c r="J23" s="1">
        <v>4</v>
      </c>
    </row>
    <row r="24" spans="1:15" ht="60">
      <c r="A24" s="1">
        <v>23</v>
      </c>
      <c r="B24" s="1" t="s">
        <v>49</v>
      </c>
      <c r="C24" s="5" t="s">
        <v>3</v>
      </c>
      <c r="F24" s="5" t="s">
        <v>33</v>
      </c>
      <c r="G24" s="1">
        <v>6</v>
      </c>
      <c r="H24" s="1">
        <v>7</v>
      </c>
      <c r="I24" s="1">
        <v>8</v>
      </c>
      <c r="J24" s="1">
        <v>12</v>
      </c>
    </row>
    <row r="25" spans="1:15" ht="45">
      <c r="A25" s="1">
        <v>24</v>
      </c>
      <c r="B25" s="1" t="s">
        <v>50</v>
      </c>
      <c r="C25" s="5" t="s">
        <v>4</v>
      </c>
      <c r="F25" s="5" t="s">
        <v>37</v>
      </c>
      <c r="G25" s="1">
        <v>12</v>
      </c>
      <c r="H25" s="1">
        <v>26</v>
      </c>
      <c r="I25" s="1">
        <v>33</v>
      </c>
      <c r="J25" s="1">
        <v>26</v>
      </c>
      <c r="K25" s="1">
        <v>28</v>
      </c>
      <c r="L25" s="1">
        <v>3</v>
      </c>
    </row>
    <row r="26" spans="1:15" ht="30">
      <c r="A26" s="1">
        <v>25</v>
      </c>
      <c r="B26" s="1" t="s">
        <v>38</v>
      </c>
      <c r="C26" s="5" t="s">
        <v>6</v>
      </c>
      <c r="F26" s="5" t="s">
        <v>37</v>
      </c>
      <c r="G26" s="1">
        <v>14</v>
      </c>
      <c r="H26" s="1">
        <v>13</v>
      </c>
      <c r="I26" s="1">
        <v>14</v>
      </c>
    </row>
    <row r="27" spans="1:15" ht="45">
      <c r="A27" s="1">
        <v>26</v>
      </c>
      <c r="B27" s="1" t="s">
        <v>50</v>
      </c>
      <c r="C27" s="5" t="s">
        <v>4</v>
      </c>
      <c r="F27" s="5" t="s">
        <v>37</v>
      </c>
      <c r="G27" s="1">
        <v>3</v>
      </c>
      <c r="H27" s="1">
        <v>28</v>
      </c>
      <c r="I27" s="1">
        <v>26</v>
      </c>
      <c r="J27" s="1">
        <v>33</v>
      </c>
      <c r="K27" s="1">
        <v>26</v>
      </c>
      <c r="L27" s="1">
        <v>12</v>
      </c>
    </row>
    <row r="28" spans="1:15" ht="45">
      <c r="A28" s="1">
        <v>27</v>
      </c>
      <c r="B28" s="1" t="s">
        <v>51</v>
      </c>
      <c r="C28" s="5" t="s">
        <v>2</v>
      </c>
      <c r="D28" s="1"/>
      <c r="E28" s="1"/>
      <c r="F28" s="5" t="s">
        <v>33</v>
      </c>
      <c r="G28" s="1">
        <v>20</v>
      </c>
      <c r="H28" s="1">
        <v>19</v>
      </c>
      <c r="I28" s="1">
        <v>18</v>
      </c>
      <c r="J28" s="1">
        <v>17</v>
      </c>
      <c r="K28" s="1">
        <v>16</v>
      </c>
      <c r="L28" s="1">
        <v>4</v>
      </c>
    </row>
    <row r="29" spans="1:15">
      <c r="A29" s="1">
        <v>28</v>
      </c>
      <c r="B29" s="5" t="s">
        <v>52</v>
      </c>
      <c r="C29" s="5" t="s">
        <v>5</v>
      </c>
      <c r="F29" s="5" t="s">
        <v>33</v>
      </c>
      <c r="G29" s="1">
        <v>3</v>
      </c>
      <c r="H29" s="1">
        <v>31</v>
      </c>
      <c r="I29" s="1">
        <v>30</v>
      </c>
      <c r="J29" s="1">
        <v>31</v>
      </c>
      <c r="K29" s="1">
        <v>4</v>
      </c>
    </row>
    <row r="30" spans="1:15">
      <c r="A30" s="1">
        <v>29</v>
      </c>
      <c r="B30" s="5" t="s">
        <v>53</v>
      </c>
      <c r="C30" s="5" t="s">
        <v>5</v>
      </c>
      <c r="F30" s="5" t="s">
        <v>33</v>
      </c>
      <c r="G30" s="1">
        <v>3</v>
      </c>
      <c r="H30" s="1">
        <v>36</v>
      </c>
      <c r="I30" s="1">
        <v>37</v>
      </c>
      <c r="J30" s="1">
        <v>38</v>
      </c>
      <c r="K30" s="1">
        <v>4</v>
      </c>
    </row>
    <row r="31" spans="1:15" ht="60">
      <c r="A31" s="1">
        <v>30</v>
      </c>
      <c r="B31" s="1" t="s">
        <v>49</v>
      </c>
      <c r="C31" s="5" t="s">
        <v>3</v>
      </c>
      <c r="F31" s="5" t="s">
        <v>33</v>
      </c>
      <c r="G31" s="1">
        <v>6</v>
      </c>
      <c r="H31" s="1">
        <v>7</v>
      </c>
      <c r="I31" s="1">
        <v>8</v>
      </c>
      <c r="J31" s="1">
        <v>12</v>
      </c>
    </row>
    <row r="32" spans="1:15" ht="45">
      <c r="A32" s="1">
        <v>31</v>
      </c>
      <c r="B32" s="1" t="s">
        <v>45</v>
      </c>
      <c r="C32" s="5" t="s">
        <v>4</v>
      </c>
      <c r="F32" s="5" t="s">
        <v>37</v>
      </c>
      <c r="G32" s="1">
        <v>12</v>
      </c>
      <c r="H32" s="1">
        <v>26</v>
      </c>
      <c r="I32" s="1">
        <v>39</v>
      </c>
      <c r="J32" s="1">
        <v>26</v>
      </c>
      <c r="K32" s="1">
        <v>17</v>
      </c>
      <c r="L32" s="1">
        <v>28</v>
      </c>
      <c r="M32" s="1">
        <v>3</v>
      </c>
    </row>
    <row r="33" spans="1:14" ht="30">
      <c r="A33" s="1">
        <v>32</v>
      </c>
      <c r="B33" s="1" t="s">
        <v>54</v>
      </c>
      <c r="C33" s="5" t="s">
        <v>6</v>
      </c>
      <c r="F33" s="5" t="s">
        <v>37</v>
      </c>
      <c r="G33" s="1">
        <v>14</v>
      </c>
      <c r="H33" s="1">
        <v>25</v>
      </c>
      <c r="I33" s="1">
        <v>14</v>
      </c>
    </row>
    <row r="34" spans="1:14" ht="45">
      <c r="A34" s="1">
        <v>33</v>
      </c>
      <c r="B34" s="1" t="s">
        <v>45</v>
      </c>
      <c r="C34" s="5" t="s">
        <v>4</v>
      </c>
      <c r="F34" s="5" t="s">
        <v>37</v>
      </c>
      <c r="G34" s="1">
        <v>3</v>
      </c>
      <c r="H34" s="1">
        <v>28</v>
      </c>
      <c r="I34" s="1">
        <v>17</v>
      </c>
      <c r="J34" s="1">
        <v>26</v>
      </c>
      <c r="K34" s="1">
        <v>39</v>
      </c>
      <c r="L34" s="1">
        <v>26</v>
      </c>
      <c r="M34" s="1">
        <v>12</v>
      </c>
    </row>
    <row r="35" spans="1:14" ht="45">
      <c r="A35" s="1">
        <v>34</v>
      </c>
      <c r="B35" s="1" t="s">
        <v>55</v>
      </c>
      <c r="C35" s="5" t="s">
        <v>2</v>
      </c>
      <c r="F35" s="5" t="s">
        <v>33</v>
      </c>
      <c r="G35" s="1">
        <v>40</v>
      </c>
      <c r="H35" s="1">
        <v>41</v>
      </c>
      <c r="I35" s="1">
        <v>20</v>
      </c>
      <c r="J35" s="1">
        <v>39</v>
      </c>
      <c r="K35" s="1">
        <v>26</v>
      </c>
      <c r="L35" s="1">
        <v>17</v>
      </c>
      <c r="M35" s="1">
        <v>28</v>
      </c>
      <c r="N35" s="1">
        <v>4</v>
      </c>
    </row>
    <row r="36" spans="1:14">
      <c r="A36" s="1">
        <v>35</v>
      </c>
      <c r="B36" s="5" t="s">
        <v>56</v>
      </c>
      <c r="C36" s="5" t="s">
        <v>5</v>
      </c>
      <c r="F36" s="5" t="s">
        <v>33</v>
      </c>
      <c r="G36" s="1">
        <v>3</v>
      </c>
      <c r="H36" s="1">
        <v>34</v>
      </c>
      <c r="I36" s="1">
        <v>35</v>
      </c>
      <c r="J36" s="1">
        <v>21</v>
      </c>
      <c r="K36" s="1">
        <v>4</v>
      </c>
    </row>
    <row r="37" spans="1:14">
      <c r="A37" s="1">
        <v>36</v>
      </c>
      <c r="B37" s="5" t="s">
        <v>57</v>
      </c>
      <c r="C37" s="5" t="s">
        <v>5</v>
      </c>
      <c r="F37" s="5" t="s">
        <v>33</v>
      </c>
      <c r="G37" s="1">
        <v>3</v>
      </c>
      <c r="H37" s="1">
        <v>36</v>
      </c>
      <c r="I37" s="1">
        <v>37</v>
      </c>
      <c r="J37" s="1">
        <v>38</v>
      </c>
      <c r="K37" s="1">
        <v>4</v>
      </c>
    </row>
    <row r="38" spans="1:14" ht="60">
      <c r="A38" s="1">
        <v>37</v>
      </c>
      <c r="B38" s="1" t="s">
        <v>58</v>
      </c>
      <c r="C38" s="5" t="s">
        <v>3</v>
      </c>
      <c r="F38" s="5" t="s">
        <v>33</v>
      </c>
      <c r="G38" s="1">
        <v>6</v>
      </c>
      <c r="H38" s="1">
        <v>7</v>
      </c>
      <c r="I38" s="1">
        <v>8</v>
      </c>
      <c r="J38" s="1">
        <v>12</v>
      </c>
    </row>
    <row r="39" spans="1:14" ht="45">
      <c r="A39" s="1">
        <v>38</v>
      </c>
      <c r="B39" s="1" t="s">
        <v>50</v>
      </c>
      <c r="C39" s="5" t="s">
        <v>4</v>
      </c>
      <c r="F39" s="5" t="s">
        <v>37</v>
      </c>
      <c r="G39" s="1">
        <v>12</v>
      </c>
      <c r="H39" s="1">
        <v>26</v>
      </c>
      <c r="I39" s="1">
        <v>33</v>
      </c>
      <c r="J39" s="1">
        <v>26</v>
      </c>
      <c r="K39" s="1">
        <v>17</v>
      </c>
      <c r="L39" s="1">
        <v>28</v>
      </c>
      <c r="M39" s="1">
        <v>3</v>
      </c>
    </row>
    <row r="40" spans="1:14" ht="30">
      <c r="A40" s="1">
        <v>39</v>
      </c>
      <c r="B40" s="1" t="s">
        <v>54</v>
      </c>
      <c r="C40" s="5" t="s">
        <v>6</v>
      </c>
      <c r="F40" s="5" t="s">
        <v>37</v>
      </c>
      <c r="G40" s="1">
        <v>14</v>
      </c>
      <c r="H40" s="1">
        <v>25</v>
      </c>
      <c r="I40" s="1">
        <v>14</v>
      </c>
    </row>
    <row r="41" spans="1:14" ht="45">
      <c r="A41" s="1">
        <v>40</v>
      </c>
      <c r="B41" s="1" t="s">
        <v>50</v>
      </c>
      <c r="C41" s="5" t="s">
        <v>4</v>
      </c>
      <c r="F41" s="5" t="s">
        <v>37</v>
      </c>
      <c r="G41" s="1">
        <v>3</v>
      </c>
      <c r="H41" s="1">
        <v>28</v>
      </c>
      <c r="I41" s="1">
        <v>17</v>
      </c>
      <c r="J41" s="1">
        <v>26</v>
      </c>
      <c r="K41" s="1">
        <v>33</v>
      </c>
      <c r="L41" s="1">
        <v>26</v>
      </c>
      <c r="M41" s="1">
        <v>12</v>
      </c>
    </row>
    <row r="42" spans="1:14" ht="45">
      <c r="A42" s="1">
        <v>41</v>
      </c>
      <c r="B42" s="1" t="s">
        <v>59</v>
      </c>
      <c r="C42" s="5" t="s">
        <v>2</v>
      </c>
      <c r="F42" s="5" t="s">
        <v>33</v>
      </c>
      <c r="G42" s="1">
        <v>40</v>
      </c>
      <c r="H42" s="1">
        <v>41</v>
      </c>
      <c r="I42" s="1">
        <v>20</v>
      </c>
      <c r="J42" s="1">
        <v>39</v>
      </c>
      <c r="K42" s="1">
        <v>26</v>
      </c>
      <c r="L42" s="1">
        <v>17</v>
      </c>
      <c r="M42" s="1">
        <v>43</v>
      </c>
      <c r="N42" s="1">
        <v>4</v>
      </c>
    </row>
    <row r="43" spans="1:14">
      <c r="A43" s="1">
        <v>42</v>
      </c>
      <c r="B43" s="5" t="s">
        <v>60</v>
      </c>
      <c r="C43" s="5" t="s">
        <v>5</v>
      </c>
      <c r="F43" s="5" t="s">
        <v>33</v>
      </c>
      <c r="G43" s="1">
        <v>3</v>
      </c>
      <c r="H43" s="1">
        <v>44</v>
      </c>
      <c r="I43" s="1">
        <v>45</v>
      </c>
      <c r="J43" s="1">
        <v>21</v>
      </c>
      <c r="K43" s="1">
        <v>4</v>
      </c>
    </row>
    <row r="44" spans="1:14">
      <c r="A44" s="1">
        <v>43</v>
      </c>
      <c r="B44" s="5" t="s">
        <v>61</v>
      </c>
      <c r="C44" s="5" t="s">
        <v>5</v>
      </c>
      <c r="F44" s="5" t="s">
        <v>33</v>
      </c>
      <c r="G44" s="1">
        <v>3</v>
      </c>
      <c r="H44" s="1">
        <v>37</v>
      </c>
      <c r="I44" s="1">
        <v>51</v>
      </c>
      <c r="J44" s="1">
        <v>45</v>
      </c>
      <c r="K44" s="1">
        <v>4</v>
      </c>
    </row>
    <row r="45" spans="1:14" ht="60">
      <c r="A45" s="1">
        <v>44</v>
      </c>
      <c r="B45" s="1" t="s">
        <v>58</v>
      </c>
      <c r="C45" s="5" t="s">
        <v>3</v>
      </c>
      <c r="F45" s="5" t="s">
        <v>33</v>
      </c>
      <c r="G45" s="1">
        <v>6</v>
      </c>
      <c r="H45" s="1">
        <v>46</v>
      </c>
      <c r="I45" s="1">
        <v>18</v>
      </c>
      <c r="J45" s="1">
        <v>12</v>
      </c>
    </row>
    <row r="46" spans="1:14" ht="75">
      <c r="A46" s="1">
        <v>45</v>
      </c>
      <c r="B46" s="1" t="s">
        <v>62</v>
      </c>
      <c r="C46" s="5" t="s">
        <v>4</v>
      </c>
      <c r="F46" s="5" t="s">
        <v>37</v>
      </c>
      <c r="G46" s="1">
        <v>12</v>
      </c>
      <c r="H46" s="1">
        <v>26</v>
      </c>
      <c r="I46" s="1">
        <v>33</v>
      </c>
      <c r="J46" s="1">
        <v>26</v>
      </c>
      <c r="K46" s="1">
        <v>17</v>
      </c>
      <c r="L46" s="1">
        <v>43</v>
      </c>
      <c r="M46" s="1">
        <v>3</v>
      </c>
    </row>
    <row r="47" spans="1:14" ht="30">
      <c r="A47" s="1">
        <v>46</v>
      </c>
      <c r="B47" s="1" t="s">
        <v>54</v>
      </c>
      <c r="C47" s="5" t="s">
        <v>6</v>
      </c>
      <c r="F47" s="5" t="s">
        <v>37</v>
      </c>
      <c r="G47" s="1">
        <v>14</v>
      </c>
      <c r="H47" s="1">
        <v>25</v>
      </c>
      <c r="I47" s="1">
        <v>14</v>
      </c>
    </row>
    <row r="48" spans="1:14" ht="75">
      <c r="A48" s="1">
        <v>47</v>
      </c>
      <c r="B48" s="1" t="s">
        <v>62</v>
      </c>
      <c r="C48" s="5" t="s">
        <v>4</v>
      </c>
      <c r="F48" s="5" t="s">
        <v>37</v>
      </c>
      <c r="G48" s="1">
        <v>3</v>
      </c>
      <c r="H48" s="1">
        <v>43</v>
      </c>
      <c r="I48" s="1">
        <v>17</v>
      </c>
      <c r="J48" s="1">
        <v>26</v>
      </c>
      <c r="K48" s="1">
        <v>33</v>
      </c>
      <c r="L48" s="1">
        <v>26</v>
      </c>
      <c r="M48" s="1">
        <v>12</v>
      </c>
    </row>
    <row r="49" spans="1:15" ht="45">
      <c r="A49" s="1">
        <v>48</v>
      </c>
      <c r="B49" s="1" t="s">
        <v>63</v>
      </c>
      <c r="C49" s="5" t="s">
        <v>2</v>
      </c>
      <c r="F49" s="5" t="s">
        <v>33</v>
      </c>
      <c r="G49" s="1">
        <v>40</v>
      </c>
      <c r="H49" s="1">
        <v>47</v>
      </c>
      <c r="I49" s="1">
        <v>20</v>
      </c>
      <c r="J49" s="1">
        <v>39</v>
      </c>
      <c r="K49" s="1">
        <v>26</v>
      </c>
      <c r="L49" s="1">
        <v>17</v>
      </c>
      <c r="M49" s="1">
        <v>43</v>
      </c>
      <c r="N49" s="1">
        <v>4</v>
      </c>
    </row>
    <row r="50" spans="1:15">
      <c r="A50" s="1">
        <v>49</v>
      </c>
      <c r="B50" s="5" t="s">
        <v>64</v>
      </c>
      <c r="C50" s="5" t="s">
        <v>5</v>
      </c>
      <c r="F50" s="5" t="s">
        <v>33</v>
      </c>
      <c r="G50" s="1">
        <v>3</v>
      </c>
      <c r="H50" s="1">
        <v>48</v>
      </c>
      <c r="I50" s="1">
        <v>54</v>
      </c>
      <c r="J50" s="1">
        <v>21</v>
      </c>
      <c r="K50" s="1">
        <v>4</v>
      </c>
      <c r="L50" s="1"/>
    </row>
    <row r="51" spans="1:15" ht="45">
      <c r="A51" s="1">
        <v>50</v>
      </c>
      <c r="B51" s="1" t="s">
        <v>65</v>
      </c>
      <c r="C51" s="5" t="s">
        <v>5</v>
      </c>
      <c r="F51" s="5" t="s">
        <v>33</v>
      </c>
      <c r="G51" s="1">
        <v>3</v>
      </c>
      <c r="H51" s="1">
        <v>37</v>
      </c>
      <c r="I51" s="1">
        <v>51</v>
      </c>
      <c r="J51" s="1">
        <v>45</v>
      </c>
      <c r="K51" s="1">
        <v>4</v>
      </c>
      <c r="L51" s="1"/>
    </row>
    <row r="52" spans="1:15" ht="60">
      <c r="A52" s="1">
        <v>51</v>
      </c>
      <c r="B52" s="1" t="s">
        <v>66</v>
      </c>
      <c r="C52" s="5" t="s">
        <v>3</v>
      </c>
      <c r="F52" s="5" t="s">
        <v>33</v>
      </c>
      <c r="G52" s="1">
        <v>6</v>
      </c>
      <c r="H52" s="1">
        <v>46</v>
      </c>
      <c r="I52" s="1">
        <v>43</v>
      </c>
      <c r="J52" s="1">
        <v>8</v>
      </c>
      <c r="K52" s="1">
        <v>12</v>
      </c>
    </row>
    <row r="53" spans="1:15" ht="45">
      <c r="A53" s="1">
        <v>52</v>
      </c>
      <c r="B53" s="1" t="s">
        <v>67</v>
      </c>
      <c r="C53" s="5" t="s">
        <v>4</v>
      </c>
      <c r="F53" s="5" t="s">
        <v>37</v>
      </c>
      <c r="G53" s="1">
        <v>12</v>
      </c>
      <c r="H53" s="1">
        <v>26</v>
      </c>
      <c r="I53" s="1">
        <v>41</v>
      </c>
      <c r="J53" s="1">
        <v>33</v>
      </c>
      <c r="K53" s="1">
        <v>26</v>
      </c>
      <c r="L53" s="1">
        <v>17</v>
      </c>
      <c r="M53" s="1">
        <v>43</v>
      </c>
      <c r="N53" s="1">
        <v>3</v>
      </c>
    </row>
    <row r="54" spans="1:15" ht="30">
      <c r="A54" s="1">
        <v>53</v>
      </c>
      <c r="B54" s="1" t="s">
        <v>54</v>
      </c>
      <c r="C54" s="5" t="s">
        <v>6</v>
      </c>
      <c r="F54" s="5" t="s">
        <v>37</v>
      </c>
      <c r="G54" s="1">
        <v>14</v>
      </c>
      <c r="H54" s="1">
        <v>25</v>
      </c>
      <c r="I54" s="1">
        <v>14</v>
      </c>
    </row>
    <row r="55" spans="1:15" ht="45">
      <c r="A55" s="1">
        <v>54</v>
      </c>
      <c r="B55" s="1" t="s">
        <v>67</v>
      </c>
      <c r="C55" s="5" t="s">
        <v>4</v>
      </c>
      <c r="F55" s="5" t="s">
        <v>37</v>
      </c>
      <c r="G55" s="1">
        <v>3</v>
      </c>
      <c r="H55" s="1">
        <v>43</v>
      </c>
      <c r="I55" s="1">
        <v>17</v>
      </c>
      <c r="J55" s="1">
        <v>26</v>
      </c>
      <c r="K55" s="1">
        <v>33</v>
      </c>
      <c r="L55" s="1">
        <v>41</v>
      </c>
      <c r="M55" s="1">
        <v>26</v>
      </c>
      <c r="N55" s="1">
        <v>12</v>
      </c>
    </row>
    <row r="56" spans="1:15" ht="60">
      <c r="A56" s="1">
        <v>55</v>
      </c>
      <c r="B56" s="1" t="s">
        <v>68</v>
      </c>
      <c r="C56" s="5" t="s">
        <v>2</v>
      </c>
      <c r="F56" s="5" t="s">
        <v>33</v>
      </c>
      <c r="G56" s="1">
        <v>40</v>
      </c>
      <c r="H56" s="1">
        <v>49</v>
      </c>
      <c r="I56" s="1">
        <v>20</v>
      </c>
      <c r="J56" s="1">
        <v>39</v>
      </c>
      <c r="K56" s="1">
        <v>26</v>
      </c>
      <c r="L56" s="1">
        <v>17</v>
      </c>
      <c r="M56" s="1">
        <v>43</v>
      </c>
      <c r="N56" s="1">
        <v>4</v>
      </c>
    </row>
    <row r="57" spans="1:15">
      <c r="A57" s="1">
        <v>56</v>
      </c>
      <c r="B57" s="13" t="s">
        <v>69</v>
      </c>
      <c r="C57" s="5" t="s">
        <v>5</v>
      </c>
      <c r="F57" s="5" t="s">
        <v>33</v>
      </c>
      <c r="G57" s="1">
        <v>3</v>
      </c>
      <c r="H57" s="1">
        <v>49</v>
      </c>
      <c r="I57" s="1">
        <v>53</v>
      </c>
      <c r="J57" s="1">
        <v>4</v>
      </c>
    </row>
    <row r="58" spans="1:15" ht="60">
      <c r="A58" s="1">
        <v>57</v>
      </c>
      <c r="B58" s="1" t="s">
        <v>70</v>
      </c>
      <c r="C58" s="5" t="s">
        <v>3</v>
      </c>
      <c r="F58" s="5" t="s">
        <v>33</v>
      </c>
      <c r="G58" s="1">
        <v>6</v>
      </c>
      <c r="H58" s="1">
        <v>46</v>
      </c>
      <c r="I58" s="1">
        <v>49</v>
      </c>
      <c r="J58" s="1">
        <v>8</v>
      </c>
      <c r="K58" s="1">
        <v>12</v>
      </c>
    </row>
    <row r="59" spans="1:15" ht="45">
      <c r="A59" s="1">
        <v>58</v>
      </c>
      <c r="B59" s="1" t="s">
        <v>71</v>
      </c>
      <c r="C59" s="5" t="s">
        <v>4</v>
      </c>
      <c r="F59" s="5" t="s">
        <v>37</v>
      </c>
      <c r="G59" s="1">
        <v>12</v>
      </c>
      <c r="H59" s="1">
        <v>26</v>
      </c>
      <c r="I59" s="1">
        <v>47</v>
      </c>
      <c r="J59" s="1">
        <v>33</v>
      </c>
      <c r="K59" s="1">
        <v>26</v>
      </c>
      <c r="L59" s="1">
        <v>17</v>
      </c>
      <c r="M59" s="1">
        <v>43</v>
      </c>
      <c r="N59" s="1">
        <v>3</v>
      </c>
    </row>
    <row r="60" spans="1:15" ht="30">
      <c r="A60" s="1">
        <v>59</v>
      </c>
      <c r="B60" s="1" t="s">
        <v>54</v>
      </c>
      <c r="C60" s="5" t="s">
        <v>6</v>
      </c>
      <c r="F60" s="5" t="s">
        <v>37</v>
      </c>
      <c r="G60" s="1">
        <v>14</v>
      </c>
      <c r="H60" s="1">
        <v>25</v>
      </c>
      <c r="I60" s="1">
        <v>14</v>
      </c>
    </row>
    <row r="61" spans="1:15" ht="45">
      <c r="A61" s="1">
        <v>60</v>
      </c>
      <c r="B61" s="1" t="s">
        <v>71</v>
      </c>
      <c r="C61" s="5" t="s">
        <v>4</v>
      </c>
      <c r="F61" s="5" t="s">
        <v>37</v>
      </c>
      <c r="G61" s="1">
        <v>3</v>
      </c>
      <c r="H61" s="1">
        <v>43</v>
      </c>
      <c r="I61" s="1">
        <v>17</v>
      </c>
      <c r="J61" s="1">
        <v>26</v>
      </c>
      <c r="K61" s="1">
        <v>33</v>
      </c>
      <c r="L61" s="1">
        <v>47</v>
      </c>
      <c r="M61" s="1">
        <v>26</v>
      </c>
      <c r="N61" s="1">
        <v>12</v>
      </c>
    </row>
    <row r="62" spans="1:15" ht="45">
      <c r="A62" s="1">
        <v>61</v>
      </c>
      <c r="B62" s="1" t="s">
        <v>63</v>
      </c>
      <c r="C62" s="5" t="s">
        <v>2</v>
      </c>
      <c r="F62" s="5" t="s">
        <v>33</v>
      </c>
      <c r="G62" s="1">
        <v>40</v>
      </c>
      <c r="H62" s="1">
        <v>49</v>
      </c>
      <c r="I62" s="1">
        <v>20</v>
      </c>
      <c r="J62" s="1">
        <v>39</v>
      </c>
      <c r="K62" s="1">
        <v>26</v>
      </c>
      <c r="L62" s="1">
        <v>17</v>
      </c>
      <c r="M62" s="1">
        <v>43</v>
      </c>
      <c r="N62" s="1">
        <v>4</v>
      </c>
    </row>
    <row r="63" spans="1:15">
      <c r="A63" s="1">
        <v>62</v>
      </c>
      <c r="B63" s="5" t="s">
        <v>72</v>
      </c>
      <c r="C63" s="5" t="s">
        <v>5</v>
      </c>
      <c r="F63" s="5" t="s">
        <v>33</v>
      </c>
      <c r="G63" s="1">
        <v>3</v>
      </c>
      <c r="H63" s="1">
        <v>52</v>
      </c>
      <c r="I63" s="1">
        <v>53</v>
      </c>
      <c r="J63" s="1">
        <v>4</v>
      </c>
    </row>
    <row r="64" spans="1:15" s="1" customFormat="1" ht="60">
      <c r="A64" s="1">
        <v>63</v>
      </c>
      <c r="B64" s="1" t="s">
        <v>70</v>
      </c>
      <c r="C64" s="5" t="s">
        <v>3</v>
      </c>
      <c r="D64" s="5"/>
      <c r="E64" s="5"/>
      <c r="F64" s="5" t="s">
        <v>33</v>
      </c>
      <c r="G64" s="1">
        <v>6</v>
      </c>
      <c r="H64" s="1">
        <v>46</v>
      </c>
      <c r="I64" s="1">
        <v>49</v>
      </c>
      <c r="J64" s="1">
        <v>8</v>
      </c>
      <c r="K64" s="1">
        <v>12</v>
      </c>
      <c r="L64" s="5"/>
      <c r="M64" s="5"/>
      <c r="N64" s="5"/>
      <c r="O64" s="5"/>
    </row>
    <row r="65" spans="1:14" ht="45">
      <c r="A65" s="1">
        <v>64</v>
      </c>
      <c r="B65" s="1" t="s">
        <v>73</v>
      </c>
      <c r="C65" s="5" t="s">
        <v>4</v>
      </c>
      <c r="F65" s="5" t="s">
        <v>37</v>
      </c>
      <c r="G65" s="1">
        <v>12</v>
      </c>
      <c r="H65" s="1">
        <v>26</v>
      </c>
      <c r="I65" s="1">
        <v>49</v>
      </c>
      <c r="J65" s="1">
        <v>33</v>
      </c>
      <c r="K65" s="1">
        <v>26</v>
      </c>
      <c r="L65" s="1">
        <v>17</v>
      </c>
      <c r="M65" s="1">
        <v>43</v>
      </c>
      <c r="N65" s="1">
        <v>3</v>
      </c>
    </row>
    <row r="66" spans="1:14" ht="30">
      <c r="A66" s="1">
        <v>65</v>
      </c>
      <c r="B66" s="1" t="s">
        <v>54</v>
      </c>
      <c r="C66" s="5" t="s">
        <v>6</v>
      </c>
      <c r="F66" s="5" t="s">
        <v>37</v>
      </c>
      <c r="G66" s="1">
        <v>14</v>
      </c>
      <c r="H66" s="1">
        <v>25</v>
      </c>
      <c r="I66" s="1">
        <v>14</v>
      </c>
    </row>
    <row r="67" spans="1:14" ht="45">
      <c r="A67" s="1">
        <v>66</v>
      </c>
      <c r="B67" s="1" t="s">
        <v>73</v>
      </c>
      <c r="C67" s="5" t="s">
        <v>4</v>
      </c>
      <c r="F67" s="5" t="s">
        <v>37</v>
      </c>
      <c r="G67" s="1">
        <v>3</v>
      </c>
      <c r="H67" s="1">
        <v>43</v>
      </c>
      <c r="I67" s="1">
        <v>17</v>
      </c>
      <c r="J67" s="1">
        <v>26</v>
      </c>
      <c r="K67" s="1">
        <v>33</v>
      </c>
      <c r="L67" s="1">
        <v>49</v>
      </c>
      <c r="M67" s="1">
        <v>26</v>
      </c>
      <c r="N67" s="1">
        <v>12</v>
      </c>
    </row>
    <row r="68" spans="1:14">
      <c r="A68" s="1"/>
    </row>
    <row r="69" spans="1:14">
      <c r="A69" s="1"/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I163"/>
  <sheetViews>
    <sheetView zoomScale="77" zoomScaleNormal="77" workbookViewId="0">
      <pane ySplit="1" topLeftCell="A53" activePane="bottomLeft" state="frozen"/>
      <selection pane="bottomLeft" activeCell="C55" sqref="C55"/>
    </sheetView>
  </sheetViews>
  <sheetFormatPr defaultColWidth="16.85546875" defaultRowHeight="15"/>
  <cols>
    <col min="1" max="16384" width="16.85546875" style="5"/>
  </cols>
  <sheetData>
    <row r="1" spans="1:1023" s="1" customFormat="1" ht="30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AMG1" s="5"/>
      <c r="AMH1" s="5"/>
      <c r="AMI1" s="5"/>
    </row>
    <row r="2" spans="1:1023">
      <c r="A2" s="1">
        <v>1</v>
      </c>
      <c r="B2" s="1" t="s">
        <v>81</v>
      </c>
      <c r="C2" s="5" t="s">
        <v>82</v>
      </c>
      <c r="D2" s="1">
        <v>0.03</v>
      </c>
      <c r="E2" s="7">
        <v>0.15</v>
      </c>
      <c r="F2" s="1">
        <v>550</v>
      </c>
      <c r="G2" s="1">
        <v>1600</v>
      </c>
      <c r="H2" s="1">
        <v>0.7</v>
      </c>
      <c r="I2" s="14"/>
    </row>
    <row r="3" spans="1:1023">
      <c r="A3" s="1">
        <v>2</v>
      </c>
      <c r="B3" s="1" t="s">
        <v>83</v>
      </c>
      <c r="C3" s="5" t="s">
        <v>82</v>
      </c>
      <c r="D3" s="1">
        <v>1.4999999999999999E-2</v>
      </c>
      <c r="E3" s="7">
        <v>0.57499999999999996</v>
      </c>
      <c r="F3" s="5">
        <f>27/0.015</f>
        <v>1800</v>
      </c>
      <c r="G3" s="1">
        <v>840</v>
      </c>
      <c r="H3" s="5">
        <v>0.9</v>
      </c>
      <c r="I3" s="14"/>
    </row>
    <row r="4" spans="1:1023">
      <c r="A4" s="5">
        <v>3</v>
      </c>
      <c r="B4" s="1" t="s">
        <v>84</v>
      </c>
      <c r="C4" s="5" t="s">
        <v>82</v>
      </c>
      <c r="D4" s="5">
        <v>0.02</v>
      </c>
      <c r="E4" s="10">
        <v>0.9</v>
      </c>
      <c r="F4" s="5">
        <v>1800</v>
      </c>
      <c r="G4" s="5">
        <v>910</v>
      </c>
      <c r="H4" s="5">
        <v>0.9</v>
      </c>
      <c r="I4" s="14"/>
    </row>
    <row r="5" spans="1:1023">
      <c r="A5" s="1">
        <v>4</v>
      </c>
      <c r="B5" s="1" t="s">
        <v>85</v>
      </c>
      <c r="C5" s="5" t="s">
        <v>82</v>
      </c>
      <c r="D5" s="5">
        <v>0.02</v>
      </c>
      <c r="E5" s="10">
        <v>0.7</v>
      </c>
      <c r="F5" s="5">
        <v>1400</v>
      </c>
      <c r="G5" s="5">
        <v>1000</v>
      </c>
      <c r="H5" s="5">
        <v>0.9</v>
      </c>
      <c r="I5" s="14"/>
    </row>
    <row r="6" spans="1:1023" ht="30">
      <c r="A6" s="1">
        <v>5</v>
      </c>
      <c r="B6" s="1" t="s">
        <v>86</v>
      </c>
      <c r="C6" s="5" t="s">
        <v>82</v>
      </c>
      <c r="D6" s="1">
        <v>0.4</v>
      </c>
      <c r="E6" s="7">
        <v>2.4</v>
      </c>
      <c r="F6" s="1">
        <v>2500</v>
      </c>
      <c r="G6" s="1">
        <v>1000</v>
      </c>
      <c r="H6" s="1">
        <v>0.7</v>
      </c>
      <c r="I6" s="15"/>
    </row>
    <row r="7" spans="1:1023">
      <c r="A7" s="1">
        <v>6</v>
      </c>
      <c r="B7" s="1" t="s">
        <v>87</v>
      </c>
      <c r="C7" s="5" t="s">
        <v>82</v>
      </c>
      <c r="D7" s="1">
        <v>0.3</v>
      </c>
      <c r="E7" s="7">
        <v>1.2</v>
      </c>
      <c r="F7" s="1">
        <v>1700</v>
      </c>
      <c r="G7" s="1">
        <v>1000</v>
      </c>
      <c r="H7" s="1">
        <v>0.7</v>
      </c>
      <c r="I7" s="14"/>
    </row>
    <row r="8" spans="1:1023" ht="45">
      <c r="A8" s="1">
        <v>7</v>
      </c>
      <c r="B8" s="1" t="s">
        <v>88</v>
      </c>
      <c r="C8" s="5" t="s">
        <v>82</v>
      </c>
      <c r="D8" s="5">
        <v>0.1</v>
      </c>
      <c r="E8" s="10">
        <v>1.1599999999999999</v>
      </c>
      <c r="F8" s="5">
        <v>2000</v>
      </c>
      <c r="G8" s="5">
        <v>670</v>
      </c>
      <c r="H8" s="1">
        <v>0.7</v>
      </c>
      <c r="I8" s="14"/>
    </row>
    <row r="9" spans="1:1023" ht="30">
      <c r="A9" s="1">
        <v>8</v>
      </c>
      <c r="B9" s="1" t="s">
        <v>89</v>
      </c>
      <c r="C9" s="5" t="s">
        <v>82</v>
      </c>
      <c r="D9" s="1">
        <v>0.02</v>
      </c>
      <c r="E9" s="7">
        <v>1.4</v>
      </c>
      <c r="F9" s="1">
        <v>2000</v>
      </c>
      <c r="G9" s="1">
        <v>670</v>
      </c>
      <c r="H9" s="1">
        <v>0.7</v>
      </c>
      <c r="I9" s="14"/>
    </row>
    <row r="10" spans="1:1023" ht="30">
      <c r="A10" s="1">
        <v>9</v>
      </c>
      <c r="B10" s="1" t="s">
        <v>90</v>
      </c>
      <c r="C10" s="5" t="s">
        <v>82</v>
      </c>
      <c r="D10" s="1">
        <v>0.2</v>
      </c>
      <c r="E10" s="7">
        <v>1.1100000000000001</v>
      </c>
      <c r="F10" s="1">
        <v>1.2</v>
      </c>
      <c r="G10" s="1">
        <v>1000</v>
      </c>
      <c r="H10" s="1">
        <v>0.7</v>
      </c>
      <c r="I10" s="14"/>
    </row>
    <row r="11" spans="1:1023">
      <c r="A11" s="1">
        <v>10</v>
      </c>
      <c r="B11" s="1" t="s">
        <v>91</v>
      </c>
      <c r="C11" s="5" t="s">
        <v>82</v>
      </c>
      <c r="D11" s="1">
        <v>0.06</v>
      </c>
      <c r="E11" s="7">
        <v>0.18</v>
      </c>
      <c r="F11" s="1">
        <v>710</v>
      </c>
      <c r="G11" s="1">
        <v>2700</v>
      </c>
      <c r="H11" s="1">
        <v>0.7</v>
      </c>
      <c r="I11" s="14"/>
    </row>
    <row r="12" spans="1:1023">
      <c r="A12" s="1">
        <v>11</v>
      </c>
      <c r="B12" s="1" t="s">
        <v>92</v>
      </c>
      <c r="C12" s="5" t="s">
        <v>82</v>
      </c>
      <c r="D12" s="1">
        <v>0.01</v>
      </c>
      <c r="E12" s="1">
        <v>0.1</v>
      </c>
      <c r="F12" s="1">
        <v>450</v>
      </c>
      <c r="G12" s="1">
        <v>1000</v>
      </c>
      <c r="H12" s="1">
        <v>0.7</v>
      </c>
      <c r="I12" s="14"/>
    </row>
    <row r="13" spans="1:1023" ht="30">
      <c r="A13" s="1">
        <v>12</v>
      </c>
      <c r="B13" s="1" t="s">
        <v>93</v>
      </c>
      <c r="C13" s="5" t="s">
        <v>82</v>
      </c>
      <c r="D13" s="1">
        <v>1.4999999999999999E-2</v>
      </c>
      <c r="E13" s="7">
        <v>1.47</v>
      </c>
      <c r="F13" s="1">
        <v>1700</v>
      </c>
      <c r="G13" s="1">
        <v>1000</v>
      </c>
      <c r="H13" s="1">
        <v>0.7</v>
      </c>
      <c r="I13" s="14"/>
    </row>
    <row r="14" spans="1:1023">
      <c r="A14" s="1">
        <v>13</v>
      </c>
      <c r="B14" s="5" t="s">
        <v>94</v>
      </c>
      <c r="C14" s="5" t="s">
        <v>82</v>
      </c>
      <c r="D14" s="5">
        <v>0.06</v>
      </c>
      <c r="E14" s="11">
        <v>0.69399999999999995</v>
      </c>
      <c r="F14" s="12">
        <v>600</v>
      </c>
      <c r="G14" s="12">
        <v>1000</v>
      </c>
      <c r="H14" s="1">
        <v>0.7</v>
      </c>
      <c r="I14" s="14"/>
    </row>
    <row r="15" spans="1:1023">
      <c r="A15" s="1">
        <v>14</v>
      </c>
      <c r="B15" s="5" t="s">
        <v>95</v>
      </c>
      <c r="C15" s="5" t="s">
        <v>82</v>
      </c>
      <c r="D15" s="5">
        <v>1.4999999999999999E-2</v>
      </c>
      <c r="E15" s="11">
        <v>0.7</v>
      </c>
      <c r="F15" s="12">
        <v>1400</v>
      </c>
      <c r="G15" s="12">
        <v>1010</v>
      </c>
      <c r="H15" s="1">
        <v>0.7</v>
      </c>
      <c r="I15" s="14"/>
    </row>
    <row r="16" spans="1:1023">
      <c r="A16" s="1">
        <v>15</v>
      </c>
      <c r="B16" s="1" t="s">
        <v>96</v>
      </c>
      <c r="C16" s="5" t="s">
        <v>82</v>
      </c>
      <c r="D16" s="1">
        <v>0.375</v>
      </c>
      <c r="E16" s="8">
        <v>0.72</v>
      </c>
      <c r="F16" s="9">
        <v>1800</v>
      </c>
      <c r="G16" s="9">
        <v>1000</v>
      </c>
      <c r="H16" s="1">
        <v>0.7</v>
      </c>
      <c r="I16" s="14"/>
    </row>
    <row r="17" spans="1:9" ht="45">
      <c r="A17" s="1">
        <v>16</v>
      </c>
      <c r="B17" s="1" t="s">
        <v>97</v>
      </c>
      <c r="C17" s="5" t="s">
        <v>82</v>
      </c>
      <c r="D17" s="1">
        <v>0.16</v>
      </c>
      <c r="E17" s="8">
        <v>0.48</v>
      </c>
      <c r="F17" s="9">
        <v>900</v>
      </c>
      <c r="G17" s="9">
        <v>1000</v>
      </c>
      <c r="H17" s="1">
        <v>0.7</v>
      </c>
      <c r="I17" s="14"/>
    </row>
    <row r="18" spans="1:9" ht="30">
      <c r="A18" s="1">
        <v>17</v>
      </c>
      <c r="B18" s="1" t="s">
        <v>98</v>
      </c>
      <c r="C18" s="5" t="s">
        <v>82</v>
      </c>
      <c r="D18" s="1">
        <v>0.04</v>
      </c>
      <c r="E18" s="8">
        <v>1.4</v>
      </c>
      <c r="F18" s="9">
        <v>2400</v>
      </c>
      <c r="G18" s="9">
        <v>1000</v>
      </c>
      <c r="H18" s="1">
        <v>0.7</v>
      </c>
      <c r="I18" s="14"/>
    </row>
    <row r="19" spans="1:9" ht="30">
      <c r="A19" s="1">
        <v>18</v>
      </c>
      <c r="B19" s="1" t="s">
        <v>99</v>
      </c>
      <c r="C19" s="5" t="s">
        <v>82</v>
      </c>
      <c r="D19" s="1">
        <v>0.03</v>
      </c>
      <c r="E19" s="8">
        <v>1.4</v>
      </c>
      <c r="F19" s="9">
        <v>2000</v>
      </c>
      <c r="G19" s="9">
        <v>1000</v>
      </c>
      <c r="H19" s="1">
        <v>0.7</v>
      </c>
      <c r="I19" s="14"/>
    </row>
    <row r="20" spans="1:9" ht="45">
      <c r="A20" s="1">
        <v>19</v>
      </c>
      <c r="B20" s="1" t="s">
        <v>100</v>
      </c>
      <c r="C20" s="5" t="s">
        <v>82</v>
      </c>
      <c r="D20" s="5">
        <v>0.12</v>
      </c>
      <c r="E20" s="11">
        <v>1.1599999999999999</v>
      </c>
      <c r="F20" s="12">
        <v>2000</v>
      </c>
      <c r="G20" s="12">
        <v>670</v>
      </c>
      <c r="H20" s="1">
        <v>0.7</v>
      </c>
      <c r="I20" s="14"/>
    </row>
    <row r="21" spans="1:9" ht="30">
      <c r="A21" s="1">
        <v>20</v>
      </c>
      <c r="B21" s="1" t="s">
        <v>101</v>
      </c>
      <c r="C21" s="5" t="s">
        <v>82</v>
      </c>
      <c r="D21" s="1">
        <v>0.01</v>
      </c>
      <c r="E21" s="8">
        <v>0.17</v>
      </c>
      <c r="F21" s="9">
        <v>1200</v>
      </c>
      <c r="G21" s="9">
        <v>1000</v>
      </c>
      <c r="H21" s="1">
        <v>0.8</v>
      </c>
      <c r="I21" s="14"/>
    </row>
    <row r="22" spans="1:9" ht="30">
      <c r="A22" s="1">
        <v>21</v>
      </c>
      <c r="B22" s="1" t="s">
        <v>102</v>
      </c>
      <c r="C22" s="5" t="s">
        <v>82</v>
      </c>
      <c r="D22" s="1">
        <v>0.08</v>
      </c>
      <c r="E22" s="8">
        <v>0.4</v>
      </c>
      <c r="F22" s="9">
        <v>800</v>
      </c>
      <c r="G22" s="9">
        <v>1000</v>
      </c>
      <c r="H22" s="5">
        <v>0.7</v>
      </c>
      <c r="I22" s="14"/>
    </row>
    <row r="23" spans="1:9" s="17" customFormat="1">
      <c r="A23" s="16">
        <v>22</v>
      </c>
      <c r="B23" s="16" t="s">
        <v>103</v>
      </c>
      <c r="C23" s="17" t="s">
        <v>104</v>
      </c>
      <c r="D23" s="16">
        <v>0.05</v>
      </c>
      <c r="E23" s="18">
        <f>D23/I23</f>
        <v>0.27777777777777779</v>
      </c>
      <c r="F23" s="19">
        <v>1.2</v>
      </c>
      <c r="G23" s="19">
        <v>1005</v>
      </c>
      <c r="H23" s="16">
        <v>0.7</v>
      </c>
      <c r="I23" s="20">
        <v>0.18</v>
      </c>
    </row>
    <row r="24" spans="1:9" ht="30">
      <c r="A24" s="1">
        <v>23</v>
      </c>
      <c r="B24" s="1" t="s">
        <v>105</v>
      </c>
      <c r="C24" s="5" t="s">
        <v>82</v>
      </c>
      <c r="D24" s="1">
        <v>0.25</v>
      </c>
      <c r="E24" s="8">
        <v>0.72</v>
      </c>
      <c r="F24" s="9">
        <v>1800</v>
      </c>
      <c r="G24" s="9">
        <v>1000</v>
      </c>
      <c r="H24" s="5">
        <v>0.7</v>
      </c>
      <c r="I24" s="14"/>
    </row>
    <row r="25" spans="1:9" ht="30">
      <c r="A25" s="1">
        <v>24</v>
      </c>
      <c r="B25" s="1" t="s">
        <v>106</v>
      </c>
      <c r="C25" s="5" t="s">
        <v>82</v>
      </c>
      <c r="D25" s="1">
        <v>0.3</v>
      </c>
      <c r="E25" s="8">
        <v>0.5</v>
      </c>
      <c r="F25" s="9">
        <v>1800</v>
      </c>
      <c r="G25" s="9">
        <v>1000</v>
      </c>
      <c r="H25" s="5">
        <v>0.7</v>
      </c>
      <c r="I25" s="14"/>
    </row>
    <row r="26" spans="1:9">
      <c r="A26" s="1">
        <v>25</v>
      </c>
      <c r="B26" s="5" t="s">
        <v>107</v>
      </c>
      <c r="C26" s="5" t="s">
        <v>82</v>
      </c>
      <c r="D26" s="5">
        <v>0.08</v>
      </c>
      <c r="E26" s="11">
        <v>0.69399999999999995</v>
      </c>
      <c r="F26" s="12">
        <v>600</v>
      </c>
      <c r="G26" s="12">
        <v>1000</v>
      </c>
      <c r="H26" s="5">
        <v>0.7</v>
      </c>
      <c r="I26" s="14"/>
    </row>
    <row r="27" spans="1:9" ht="30">
      <c r="A27" s="1">
        <v>26</v>
      </c>
      <c r="B27" s="1" t="s">
        <v>89</v>
      </c>
      <c r="C27" s="5" t="s">
        <v>82</v>
      </c>
      <c r="D27" s="1">
        <v>0.02</v>
      </c>
      <c r="E27" s="8">
        <v>1.4</v>
      </c>
      <c r="F27" s="9">
        <v>2000</v>
      </c>
      <c r="G27" s="9">
        <v>1000</v>
      </c>
      <c r="H27" s="5">
        <v>0.7</v>
      </c>
      <c r="I27" s="14"/>
    </row>
    <row r="28" spans="1:9" ht="30">
      <c r="A28" s="1">
        <v>27</v>
      </c>
      <c r="B28" s="1" t="s">
        <v>108</v>
      </c>
      <c r="C28" s="5" t="s">
        <v>82</v>
      </c>
      <c r="D28" s="5">
        <v>0.06</v>
      </c>
      <c r="E28" s="10">
        <v>1.06</v>
      </c>
      <c r="F28" s="5">
        <v>1700</v>
      </c>
      <c r="G28" s="5">
        <v>1000</v>
      </c>
      <c r="H28" s="5">
        <v>0.7</v>
      </c>
      <c r="I28" s="14"/>
    </row>
    <row r="29" spans="1:9" ht="45">
      <c r="A29" s="1">
        <v>28</v>
      </c>
      <c r="B29" s="1" t="s">
        <v>109</v>
      </c>
      <c r="C29" s="5" t="s">
        <v>82</v>
      </c>
      <c r="D29" s="1">
        <v>0.16</v>
      </c>
      <c r="E29" s="1">
        <v>0.49</v>
      </c>
      <c r="F29" s="1">
        <v>900</v>
      </c>
      <c r="G29" s="1">
        <v>1000</v>
      </c>
      <c r="H29" s="5">
        <v>0.7</v>
      </c>
      <c r="I29" s="14"/>
    </row>
    <row r="30" spans="1:9">
      <c r="A30" s="1">
        <v>29</v>
      </c>
      <c r="B30" s="1" t="s">
        <v>110</v>
      </c>
      <c r="C30" s="5" t="s">
        <v>82</v>
      </c>
      <c r="D30" s="1">
        <v>0.15</v>
      </c>
      <c r="E30" s="1">
        <v>0.5</v>
      </c>
      <c r="F30" s="1">
        <v>1400</v>
      </c>
      <c r="G30" s="1">
        <v>1000</v>
      </c>
      <c r="H30" s="5">
        <v>0.7</v>
      </c>
      <c r="I30" s="14"/>
    </row>
    <row r="31" spans="1:9" s="17" customFormat="1">
      <c r="A31" s="16">
        <v>30</v>
      </c>
      <c r="B31" s="16" t="s">
        <v>111</v>
      </c>
      <c r="C31" s="17" t="s">
        <v>104</v>
      </c>
      <c r="D31" s="17">
        <v>0.08</v>
      </c>
      <c r="E31" s="17">
        <f>D31/I31</f>
        <v>0.44444444444444448</v>
      </c>
      <c r="F31" s="17">
        <v>1.2</v>
      </c>
      <c r="G31" s="17">
        <v>1005</v>
      </c>
      <c r="H31" s="17">
        <v>0.7</v>
      </c>
      <c r="I31" s="20">
        <v>0.18</v>
      </c>
    </row>
    <row r="32" spans="1:9" ht="30">
      <c r="A32" s="1">
        <v>31</v>
      </c>
      <c r="B32" s="1" t="s">
        <v>112</v>
      </c>
      <c r="C32" s="5" t="s">
        <v>82</v>
      </c>
      <c r="D32" s="5">
        <v>0.12</v>
      </c>
      <c r="E32" s="5">
        <v>0.39</v>
      </c>
      <c r="F32" s="5">
        <v>800</v>
      </c>
      <c r="G32" s="5">
        <v>1000</v>
      </c>
      <c r="H32" s="5">
        <v>0.7</v>
      </c>
      <c r="I32" s="14"/>
    </row>
    <row r="33" spans="1:9" s="17" customFormat="1">
      <c r="A33" s="16">
        <v>32</v>
      </c>
      <c r="B33" s="16" t="s">
        <v>113</v>
      </c>
      <c r="C33" s="17" t="s">
        <v>104</v>
      </c>
      <c r="D33" s="17">
        <v>0.06</v>
      </c>
      <c r="E33" s="17">
        <f>D33/I33</f>
        <v>0.33333333333333331</v>
      </c>
      <c r="F33" s="17">
        <v>1.2</v>
      </c>
      <c r="G33" s="17">
        <v>1005</v>
      </c>
      <c r="H33" s="17">
        <v>0.7</v>
      </c>
      <c r="I33" s="20">
        <v>0.18</v>
      </c>
    </row>
    <row r="34" spans="1:9" ht="45">
      <c r="A34" s="1">
        <v>33</v>
      </c>
      <c r="B34" s="1" t="s">
        <v>114</v>
      </c>
      <c r="C34" s="5" t="s">
        <v>82</v>
      </c>
      <c r="D34" s="5">
        <v>0.06</v>
      </c>
      <c r="E34" s="5">
        <v>0.57999999999999996</v>
      </c>
      <c r="F34" s="5">
        <v>900</v>
      </c>
      <c r="G34" s="5">
        <v>1000</v>
      </c>
      <c r="H34" s="5">
        <v>0.7</v>
      </c>
      <c r="I34" s="14"/>
    </row>
    <row r="35" spans="1:9">
      <c r="A35" s="1">
        <v>34</v>
      </c>
      <c r="B35" s="1" t="s">
        <v>115</v>
      </c>
      <c r="C35" s="5" t="s">
        <v>82</v>
      </c>
      <c r="D35" s="5">
        <v>0.25</v>
      </c>
      <c r="E35" s="5">
        <v>0.4</v>
      </c>
      <c r="F35" s="5">
        <v>1000</v>
      </c>
      <c r="G35" s="5">
        <v>1000</v>
      </c>
      <c r="H35" s="5">
        <v>0.7</v>
      </c>
      <c r="I35" s="14"/>
    </row>
    <row r="36" spans="1:9" s="17" customFormat="1" ht="30">
      <c r="A36" s="16">
        <v>35</v>
      </c>
      <c r="B36" s="16" t="s">
        <v>116</v>
      </c>
      <c r="C36" s="17" t="s">
        <v>104</v>
      </c>
      <c r="D36" s="17">
        <v>0.02</v>
      </c>
      <c r="E36" s="17">
        <v>4.4999999999999998E-2</v>
      </c>
      <c r="F36" s="17">
        <v>30</v>
      </c>
      <c r="G36" s="17">
        <v>570</v>
      </c>
      <c r="H36" s="17">
        <v>0.7</v>
      </c>
      <c r="I36" s="20">
        <v>0.44444444444444448</v>
      </c>
    </row>
    <row r="37" spans="1:9" ht="30">
      <c r="A37" s="1">
        <v>36</v>
      </c>
      <c r="B37" s="1" t="s">
        <v>117</v>
      </c>
      <c r="C37" s="5" t="s">
        <v>82</v>
      </c>
      <c r="D37" s="5">
        <v>0.25</v>
      </c>
      <c r="E37" s="5">
        <v>0.57999999999999996</v>
      </c>
      <c r="F37" s="5">
        <v>1400</v>
      </c>
      <c r="G37" s="5">
        <v>1000</v>
      </c>
      <c r="H37" s="5">
        <v>0.7</v>
      </c>
      <c r="I37" s="14"/>
    </row>
    <row r="38" spans="1:9" ht="30">
      <c r="A38" s="1">
        <v>37</v>
      </c>
      <c r="B38" s="1" t="s">
        <v>118</v>
      </c>
      <c r="C38" s="5" t="s">
        <v>82</v>
      </c>
      <c r="D38" s="5">
        <v>0.03</v>
      </c>
      <c r="E38" s="5">
        <v>0.04</v>
      </c>
      <c r="F38" s="5">
        <v>30</v>
      </c>
      <c r="G38" s="5">
        <v>670</v>
      </c>
      <c r="H38" s="5">
        <v>0.7</v>
      </c>
      <c r="I38" s="14"/>
    </row>
    <row r="39" spans="1:9" ht="30">
      <c r="A39" s="1">
        <v>38</v>
      </c>
      <c r="B39" s="1" t="s">
        <v>119</v>
      </c>
      <c r="C39" s="5" t="s">
        <v>82</v>
      </c>
      <c r="D39" s="5">
        <v>0.01</v>
      </c>
      <c r="E39" s="5">
        <v>0.57999999999999996</v>
      </c>
      <c r="F39" s="5">
        <v>1400</v>
      </c>
      <c r="G39" s="5">
        <v>1000</v>
      </c>
      <c r="H39" s="5">
        <v>0.7</v>
      </c>
      <c r="I39" s="14"/>
    </row>
    <row r="40" spans="1:9" ht="45">
      <c r="A40" s="1">
        <v>39</v>
      </c>
      <c r="B40" s="1" t="s">
        <v>100</v>
      </c>
      <c r="C40" s="5" t="s">
        <v>82</v>
      </c>
      <c r="D40" s="5">
        <v>0.12</v>
      </c>
      <c r="E40" s="5">
        <v>1.06</v>
      </c>
      <c r="F40" s="5">
        <v>1900</v>
      </c>
      <c r="G40" s="5">
        <v>1000</v>
      </c>
      <c r="H40" s="5">
        <v>0.7</v>
      </c>
      <c r="I40" s="14"/>
    </row>
    <row r="41" spans="1:9">
      <c r="A41" s="1">
        <v>40</v>
      </c>
      <c r="B41" s="1" t="s">
        <v>120</v>
      </c>
      <c r="C41" s="5" t="s">
        <v>82</v>
      </c>
      <c r="D41" s="5">
        <v>0.03</v>
      </c>
      <c r="E41" s="5">
        <v>0.7</v>
      </c>
      <c r="F41" s="5">
        <v>1500</v>
      </c>
      <c r="G41" s="5">
        <v>1000</v>
      </c>
      <c r="H41" s="5">
        <v>0.8</v>
      </c>
      <c r="I41" s="14"/>
    </row>
    <row r="42" spans="1:9" ht="30">
      <c r="A42" s="1">
        <v>41</v>
      </c>
      <c r="B42" s="1" t="s">
        <v>121</v>
      </c>
      <c r="C42" s="5" t="s">
        <v>82</v>
      </c>
      <c r="D42" s="5">
        <v>0.02</v>
      </c>
      <c r="E42" s="5">
        <v>4.4999999999999998E-2</v>
      </c>
      <c r="F42" s="5">
        <v>30</v>
      </c>
      <c r="G42" s="5">
        <v>1220</v>
      </c>
      <c r="H42" s="5">
        <v>0.7</v>
      </c>
      <c r="I42" s="14"/>
    </row>
    <row r="43" spans="1:9" ht="30">
      <c r="A43" s="1">
        <v>42</v>
      </c>
      <c r="B43" s="1" t="s">
        <v>118</v>
      </c>
      <c r="C43" s="5" t="s">
        <v>82</v>
      </c>
      <c r="D43" s="5">
        <v>0.06</v>
      </c>
      <c r="E43" s="5">
        <v>0.04</v>
      </c>
      <c r="F43" s="5">
        <v>30</v>
      </c>
      <c r="G43" s="5">
        <v>670</v>
      </c>
      <c r="H43" s="5">
        <v>0.7</v>
      </c>
      <c r="I43" s="14"/>
    </row>
    <row r="44" spans="1:9" ht="45">
      <c r="A44" s="1">
        <v>43</v>
      </c>
      <c r="B44" s="1" t="s">
        <v>122</v>
      </c>
      <c r="C44" s="5" t="s">
        <v>82</v>
      </c>
      <c r="D44" s="1">
        <v>0.24</v>
      </c>
      <c r="E44" s="1">
        <v>0.65</v>
      </c>
      <c r="F44" s="1">
        <v>900</v>
      </c>
      <c r="G44" s="1">
        <v>1000</v>
      </c>
      <c r="H44" s="5">
        <v>0.7</v>
      </c>
      <c r="I44" s="14"/>
    </row>
    <row r="45" spans="1:9" ht="30">
      <c r="A45" s="1">
        <v>44</v>
      </c>
      <c r="B45" s="1" t="s">
        <v>123</v>
      </c>
      <c r="C45" s="5" t="s">
        <v>82</v>
      </c>
      <c r="D45" s="5">
        <v>0.25</v>
      </c>
      <c r="E45" s="5">
        <v>0.72</v>
      </c>
      <c r="F45" s="5">
        <v>1800</v>
      </c>
      <c r="G45" s="5">
        <v>1000</v>
      </c>
      <c r="H45" s="5">
        <v>0.7</v>
      </c>
      <c r="I45" s="14"/>
    </row>
    <row r="46" spans="1:9" ht="30">
      <c r="A46" s="1">
        <v>45</v>
      </c>
      <c r="B46" s="1" t="s">
        <v>121</v>
      </c>
      <c r="C46" s="5" t="s">
        <v>82</v>
      </c>
      <c r="D46" s="5">
        <v>0.04</v>
      </c>
      <c r="E46" s="5">
        <v>4.4999999999999998E-2</v>
      </c>
      <c r="F46" s="5">
        <v>15</v>
      </c>
      <c r="G46" s="5">
        <v>1220</v>
      </c>
      <c r="H46" s="5">
        <v>0.7</v>
      </c>
      <c r="I46" s="14"/>
    </row>
    <row r="47" spans="1:9" ht="30">
      <c r="A47" s="1">
        <v>46</v>
      </c>
      <c r="B47" s="1" t="s">
        <v>124</v>
      </c>
      <c r="C47" s="5" t="s">
        <v>82</v>
      </c>
      <c r="D47" s="5">
        <v>0.12</v>
      </c>
      <c r="E47" s="5">
        <v>0.33</v>
      </c>
      <c r="F47" s="5">
        <v>1200</v>
      </c>
      <c r="G47" s="5">
        <v>1000</v>
      </c>
      <c r="H47" s="5">
        <v>0.7</v>
      </c>
      <c r="I47" s="14"/>
    </row>
    <row r="48" spans="1:9" ht="45">
      <c r="A48" s="1">
        <v>47</v>
      </c>
      <c r="B48" s="1" t="s">
        <v>125</v>
      </c>
      <c r="C48" s="5" t="s">
        <v>82</v>
      </c>
      <c r="D48" s="5">
        <v>0.05</v>
      </c>
      <c r="E48" s="5">
        <v>4.4999999999999998E-2</v>
      </c>
      <c r="F48" s="5">
        <v>30</v>
      </c>
      <c r="G48" s="5">
        <v>1220</v>
      </c>
      <c r="H48" s="5">
        <v>0.7</v>
      </c>
      <c r="I48" s="14"/>
    </row>
    <row r="49" spans="1:9" ht="30">
      <c r="A49" s="1">
        <v>48</v>
      </c>
      <c r="B49" s="1" t="s">
        <v>126</v>
      </c>
      <c r="C49" s="5" t="s">
        <v>82</v>
      </c>
      <c r="D49" s="5">
        <v>0.38</v>
      </c>
      <c r="E49" s="5">
        <v>0.72</v>
      </c>
      <c r="F49" s="5">
        <v>1800</v>
      </c>
      <c r="G49" s="5">
        <v>1000</v>
      </c>
      <c r="H49" s="5">
        <v>0.7</v>
      </c>
      <c r="I49" s="14"/>
    </row>
    <row r="50" spans="1:9" ht="45">
      <c r="A50" s="1">
        <v>49</v>
      </c>
      <c r="B50" s="1" t="s">
        <v>127</v>
      </c>
      <c r="C50" s="5" t="s">
        <v>82</v>
      </c>
      <c r="D50" s="5">
        <v>0.1</v>
      </c>
      <c r="E50" s="5">
        <v>4.4999999999999998E-2</v>
      </c>
      <c r="F50" s="5">
        <v>30</v>
      </c>
      <c r="G50" s="5">
        <v>1220</v>
      </c>
      <c r="H50" s="5">
        <v>0.7</v>
      </c>
      <c r="I50" s="14"/>
    </row>
    <row r="51" spans="1:9" ht="30">
      <c r="A51" s="1">
        <v>50</v>
      </c>
      <c r="B51" s="1" t="s">
        <v>128</v>
      </c>
      <c r="C51" s="5" t="s">
        <v>82</v>
      </c>
      <c r="D51" s="5">
        <v>0.16</v>
      </c>
      <c r="E51" s="5">
        <v>0.64</v>
      </c>
      <c r="F51" s="5">
        <v>600</v>
      </c>
      <c r="G51" s="5">
        <v>1000</v>
      </c>
      <c r="H51" s="5">
        <v>0.7</v>
      </c>
      <c r="I51" s="14"/>
    </row>
    <row r="52" spans="1:9" ht="30">
      <c r="A52" s="1">
        <v>51</v>
      </c>
      <c r="B52" s="1" t="s">
        <v>129</v>
      </c>
      <c r="C52" s="5" t="s">
        <v>82</v>
      </c>
      <c r="D52" s="5">
        <v>0.3</v>
      </c>
      <c r="E52" s="5">
        <v>0.57999999999999996</v>
      </c>
      <c r="F52" s="5">
        <v>1400</v>
      </c>
      <c r="G52" s="5">
        <v>1000</v>
      </c>
      <c r="H52" s="5">
        <v>0.7</v>
      </c>
      <c r="I52" s="14"/>
    </row>
    <row r="53" spans="1:9" ht="45">
      <c r="A53" s="1">
        <v>52</v>
      </c>
      <c r="B53" s="1" t="s">
        <v>127</v>
      </c>
      <c r="C53" s="5" t="s">
        <v>82</v>
      </c>
      <c r="D53" s="5">
        <v>0.15</v>
      </c>
      <c r="E53" s="5">
        <v>4.4999999999999998E-2</v>
      </c>
      <c r="F53" s="5">
        <v>30</v>
      </c>
      <c r="G53" s="5">
        <v>1220</v>
      </c>
      <c r="H53" s="5">
        <v>0.7</v>
      </c>
      <c r="I53" s="14"/>
    </row>
    <row r="54" spans="1:9">
      <c r="A54" s="1">
        <v>53</v>
      </c>
      <c r="B54" s="1" t="s">
        <v>130</v>
      </c>
      <c r="C54" s="5" t="s">
        <v>82</v>
      </c>
      <c r="D54" s="1">
        <v>0.3</v>
      </c>
      <c r="E54" s="1">
        <v>0.34</v>
      </c>
      <c r="F54" s="1">
        <v>1000</v>
      </c>
      <c r="G54" s="1">
        <v>1000</v>
      </c>
      <c r="H54" s="5">
        <v>0.7</v>
      </c>
      <c r="I54" s="14"/>
    </row>
    <row r="55" spans="1:9" s="17" customFormat="1" ht="30">
      <c r="A55" s="16">
        <v>54</v>
      </c>
      <c r="B55" s="16" t="s">
        <v>131</v>
      </c>
      <c r="C55" s="17" t="s">
        <v>104</v>
      </c>
      <c r="D55" s="17">
        <v>0.04</v>
      </c>
      <c r="E55" s="17">
        <v>4.4999999999999998E-2</v>
      </c>
      <c r="F55" s="17">
        <v>15</v>
      </c>
      <c r="G55" s="17">
        <v>1220</v>
      </c>
      <c r="H55" s="17">
        <v>0.7</v>
      </c>
      <c r="I55" s="20">
        <v>0.89</v>
      </c>
    </row>
    <row r="56" spans="1:9">
      <c r="A56" s="1"/>
      <c r="B56" s="1"/>
    </row>
    <row r="57" spans="1:9">
      <c r="A57" s="1"/>
    </row>
    <row r="58" spans="1:9">
      <c r="B58" s="1"/>
    </row>
    <row r="89" spans="2:2">
      <c r="B89" s="12"/>
    </row>
    <row r="90" spans="2:2">
      <c r="B90" s="12"/>
    </row>
    <row r="91" spans="2:2">
      <c r="B91" s="12"/>
    </row>
    <row r="92" spans="2:2">
      <c r="B92" s="12"/>
    </row>
    <row r="100" spans="2:2">
      <c r="B100" s="12"/>
    </row>
    <row r="101" spans="2:2">
      <c r="B101" s="12"/>
    </row>
    <row r="111" spans="2:2">
      <c r="B111" s="12"/>
    </row>
    <row r="112" spans="2:2">
      <c r="B112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  <row r="125" spans="2:2">
      <c r="B125" s="12"/>
    </row>
    <row r="152" spans="2:2">
      <c r="B152" s="12"/>
    </row>
    <row r="153" spans="2:2">
      <c r="B153" s="12"/>
    </row>
    <row r="160" spans="2:2">
      <c r="B160" s="12"/>
    </row>
    <row r="161" spans="2:2">
      <c r="B161" s="12"/>
    </row>
    <row r="162" spans="2:2">
      <c r="B162" s="12"/>
    </row>
    <row r="163" spans="2:2">
      <c r="B163" s="12"/>
    </row>
  </sheetData>
  <conditionalFormatting sqref="K1:K1048576">
    <cfRule type="containsText" dxfId="1" priority="2" operator="containsText" text="VERO">
      <formula>NOT(ISERROR(SEARCH("VERO",K1)))</formula>
    </cfRule>
    <cfRule type="containsText" dxfId="0" priority="3" operator="containsText" text="FALSO">
      <formula>NOT(ISERROR(SEARCH("FALSO",K1)))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zoomScale="80" zoomScaleNormal="80" workbookViewId="0">
      <pane ySplit="1" topLeftCell="A2" activePane="bottomLeft" state="frozen"/>
      <selection pane="bottomLeft" activeCell="J10" sqref="J10"/>
    </sheetView>
  </sheetViews>
  <sheetFormatPr defaultColWidth="30.85546875" defaultRowHeight="15.75"/>
  <cols>
    <col min="1" max="1" width="3.42578125" style="4" bestFit="1" customWidth="1"/>
    <col min="2" max="2" width="30.7109375" style="4" bestFit="1" customWidth="1"/>
    <col min="3" max="3" width="4.7109375" style="4" bestFit="1" customWidth="1"/>
    <col min="4" max="4" width="8.42578125" style="4" bestFit="1" customWidth="1"/>
    <col min="5" max="5" width="9.140625" style="4" bestFit="1" customWidth="1"/>
    <col min="6" max="6" width="8.42578125" style="4" customWidth="1"/>
    <col min="7" max="7" width="6.85546875" style="4" bestFit="1" customWidth="1"/>
    <col min="8" max="8" width="7.140625" style="4" bestFit="1" customWidth="1"/>
    <col min="9" max="9" width="5.85546875" style="4" bestFit="1" customWidth="1"/>
    <col min="10" max="16384" width="30.85546875" style="4"/>
  </cols>
  <sheetData>
    <row r="1" spans="1:8" s="2" customFormat="1" ht="63">
      <c r="A1" s="2" t="s">
        <v>0</v>
      </c>
      <c r="B1" s="2" t="s">
        <v>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</row>
    <row r="2" spans="1:8" ht="31.5">
      <c r="A2" s="2">
        <v>1</v>
      </c>
      <c r="B2" s="2" t="s">
        <v>138</v>
      </c>
      <c r="C2" s="2">
        <v>5.7</v>
      </c>
      <c r="D2" s="2">
        <v>0.82</v>
      </c>
      <c r="E2" s="2">
        <v>0.85</v>
      </c>
      <c r="F2" s="4">
        <v>0</v>
      </c>
      <c r="G2" s="4">
        <v>1</v>
      </c>
      <c r="H2" s="4">
        <v>0.9</v>
      </c>
    </row>
    <row r="3" spans="1:8">
      <c r="A3" s="2">
        <v>2</v>
      </c>
      <c r="B3" s="3" t="s">
        <v>139</v>
      </c>
      <c r="C3" s="3">
        <v>4.9000000000000004</v>
      </c>
      <c r="D3" s="2">
        <v>0.82</v>
      </c>
      <c r="E3" s="2">
        <v>0.85</v>
      </c>
      <c r="F3" s="4">
        <v>0</v>
      </c>
      <c r="G3" s="4">
        <v>1</v>
      </c>
      <c r="H3" s="4">
        <v>0.9</v>
      </c>
    </row>
    <row r="4" spans="1:8" ht="47.25">
      <c r="A4" s="2">
        <v>3</v>
      </c>
      <c r="B4" s="2" t="s">
        <v>140</v>
      </c>
      <c r="C4" s="2">
        <v>3.7</v>
      </c>
      <c r="D4" s="2">
        <v>0.7</v>
      </c>
      <c r="E4" s="2">
        <v>0.79</v>
      </c>
      <c r="F4" s="4">
        <v>0</v>
      </c>
      <c r="G4" s="4">
        <v>1</v>
      </c>
      <c r="H4" s="4">
        <v>0.9</v>
      </c>
    </row>
    <row r="5" spans="1:8" ht="47.25">
      <c r="A5" s="2">
        <v>4</v>
      </c>
      <c r="B5" s="2" t="s">
        <v>141</v>
      </c>
      <c r="C5" s="2">
        <v>3.4</v>
      </c>
      <c r="D5" s="2">
        <v>0.7</v>
      </c>
      <c r="E5" s="2">
        <v>0.79</v>
      </c>
      <c r="F5" s="4">
        <v>0</v>
      </c>
      <c r="G5" s="4">
        <v>1</v>
      </c>
      <c r="H5" s="4">
        <v>0.9</v>
      </c>
    </row>
    <row r="6" spans="1:8" ht="31.5">
      <c r="A6" s="2">
        <v>5</v>
      </c>
      <c r="B6" s="2" t="s">
        <v>142</v>
      </c>
      <c r="C6" s="2">
        <v>2.2000000000000002</v>
      </c>
      <c r="D6" s="2">
        <v>0.27</v>
      </c>
      <c r="E6" s="2">
        <v>0.64</v>
      </c>
      <c r="F6" s="4">
        <v>0</v>
      </c>
      <c r="G6" s="4">
        <v>1</v>
      </c>
      <c r="H6" s="4">
        <v>0.9</v>
      </c>
    </row>
    <row r="7" spans="1:8" ht="31.5">
      <c r="A7" s="2">
        <v>6</v>
      </c>
      <c r="B7" s="2" t="s">
        <v>142</v>
      </c>
      <c r="C7" s="2">
        <v>2</v>
      </c>
      <c r="D7" s="2">
        <v>0.27</v>
      </c>
      <c r="E7" s="2">
        <v>0.64</v>
      </c>
      <c r="F7" s="4">
        <v>0</v>
      </c>
      <c r="G7" s="4">
        <v>1</v>
      </c>
      <c r="H7" s="4">
        <v>0.9</v>
      </c>
    </row>
  </sheetData>
  <pageMargins left="0.7" right="0.7" top="0.75" bottom="0.75" header="0.51180555555555496" footer="0.51180555555555496"/>
  <pageSetup firstPageNumber="0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F108CF-CFD9-47FB-AD65-C74A1CC8D454}"/>
</file>

<file path=customXml/itemProps2.xml><?xml version="1.0" encoding="utf-8"?>
<ds:datastoreItem xmlns:ds="http://schemas.openxmlformats.org/officeDocument/2006/customXml" ds:itemID="{D81EF3F0-7775-4285-BFE0-18A3A29E794A}"/>
</file>

<file path=customXml/itemProps3.xml><?xml version="1.0" encoding="utf-8"?>
<ds:datastoreItem xmlns:ds="http://schemas.openxmlformats.org/officeDocument/2006/customXml" ds:itemID="{78A0EADE-0FE4-4B1A-A335-85BC59899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LBNL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Yixing Chen</dc:creator>
  <cp:keywords/>
  <dc:description/>
  <cp:lastModifiedBy>Bano Gianmarco</cp:lastModifiedBy>
  <cp:revision>16</cp:revision>
  <dcterms:created xsi:type="dcterms:W3CDTF">2014-06-13T16:15:00Z</dcterms:created>
  <dcterms:modified xsi:type="dcterms:W3CDTF">2023-11-15T15:22:42Z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LBNL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ef7c374f-4a7b-4bc4-b362-29e66f5b9195</vt:lpwstr>
  </property>
  <property fmtid="{D5CDD505-2E9C-101B-9397-08002B2CF9AE}" pid="10" name="ContentTypeId">
    <vt:lpwstr>0x010100B4A72D35825A314C9EB5C5BDD49EC582</vt:lpwstr>
  </property>
</Properties>
</file>